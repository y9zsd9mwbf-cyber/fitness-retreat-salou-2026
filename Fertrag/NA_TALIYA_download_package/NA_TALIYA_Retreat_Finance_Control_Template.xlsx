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f2db03f20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04402238f7146e3"/>
    <x:sheet xmlns:r="http://schemas.openxmlformats.org/officeDocument/2006/relationships" name="Inputs" sheetId="2" r:id="R02a76cd81e2c40f1"/>
    <x:sheet xmlns:r="http://schemas.openxmlformats.org/officeDocument/2006/relationships" name="Income" sheetId="3" r:id="R7543f7ce2af04381"/>
    <x:sheet xmlns:r="http://schemas.openxmlformats.org/officeDocument/2006/relationships" name="Expenses" sheetId="4" r:id="R9ec693cf4410495b"/>
    <x:sheet xmlns:r="http://schemas.openxmlformats.org/officeDocument/2006/relationships" name="Participants" sheetId="5" r:id="Rc9a8e5d8669849b3"/>
    <x:sheet xmlns:r="http://schemas.openxmlformats.org/officeDocument/2006/relationships" name="Tasks" sheetId="6" r:id="Ra5382eea32b14d69"/>
    <x:sheet xmlns:r="http://schemas.openxmlformats.org/officeDocument/2006/relationships" name="Legal &amp; Insurance" sheetId="7" r:id="R14a9c9d5c35b4813"/>
    <x:sheet xmlns:r="http://schemas.openxmlformats.org/officeDocument/2006/relationships" name="Lists" sheetId="8" r:id="R91deb102834d41b2"/>
    <x:sheet xmlns:r="http://schemas.openxmlformats.org/officeDocument/2006/relationships" name="Profit Simulation" sheetId="9" r:id="R3ffddd9c285145e6"/>
    <x:sheet xmlns:r="http://schemas.openxmlformats.org/officeDocument/2006/relationships" name="Cash Flow" sheetId="10" r:id="Re8a2d3aeb6f741d5"/>
    <x:sheet xmlns:r="http://schemas.openxmlformats.org/officeDocument/2006/relationships" name="Profit Allocation" sheetId="11" r:id="R8fc5b654cab84a30"/>
    <x:sheet xmlns:r="http://schemas.openxmlformats.org/officeDocument/2006/relationships" name="README" sheetId="12" r:id="R1354cf1fb970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€#,##0"/>
    <x:numFmt numFmtId="165" formatCode="dd.mm.yyyy"/>
    <x:numFmt numFmtId="200" formatCode="0"/>
    <x:numFmt numFmtId="201" formatCode="yyyy-mm-dd"/>
    <x:numFmt numFmtId="202" formatCode="€ #,##0.00"/>
    <x:numFmt numFmtId="203" formatCode="0.0%"/>
    <x:numFmt numFmtId="204" formatCode="0%"/>
  </x:numFmts>
  <x:fonts count="11">
    <x:font>
      <x:sz val="11"/>
      <x:color rgb="FF000000"/>
      <x:name val="Carlito"/>
    </x:font>
    <x:font>
      <x:b/>
      <x:sz val="14"/>
      <x:color rgb="FFFFFFFF"/>
      <x:name val="Carlito"/>
    </x:font>
    <x:font>
      <x:sz val="11"/>
      <x:color theme="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b/>
      <x:sz val="10"/>
      <x:color rgb="FFFFFFFF"/>
      <x:name val="Aptos"/>
    </x:font>
    <x:font>
      <x:sz val="10"/>
      <x:color rgb="FF000000"/>
      <x:name val="Aptos"/>
    </x:font>
    <x:font>
      <x:sz val="10"/>
      <x:color theme="1"/>
      <x:name val="Aptos"/>
    </x:font>
    <x:font>
      <x:b/>
      <x:sz val="10"/>
      <x:color rgb="FF000000"/>
      <x:name val="Aptos"/>
    </x:font>
    <x:font>
      <x:b/>
      <x:sz val="16"/>
      <x:color rgb="FFFFFFFF"/>
      <x:name val="Aptos"/>
    </x:font>
  </x:fonts>
  <x:fills count="7">
    <x:fill>
      <x:patternFill patternType="none"/>
    </x:fill>
    <x:fill>
      <x:patternFill patternType="lightGray"/>
    </x:fill>
    <x:fill>
      <x:patternFill patternType="solid">
        <x:fgColor rgb="FF0E7490"/>
      </x:patternFill>
    </x:fill>
    <x:fill>
      <x:patternFill patternType="solid">
        <x:fgColor rgb="FF1F4E5F"/>
      </x:patternFill>
    </x:fill>
    <x:fill>
      <x:patternFill patternType="solid">
        <x:fgColor rgb="FFFF0000"/>
      </x:patternFill>
    </x:fill>
    <x:fill>
      <x:patternFill patternType="solid">
        <x:fgColor rgb="FF111827"/>
      </x:patternFill>
    </x:fill>
    <x:fill>
      <x:patternFill patternType="solid">
        <x:fgColor rgb="FFFFF7ED"/>
      </x:patternFill>
    </x:fill>
  </x:fills>
  <x:borders count="1">
    <x:border/>
  </x:borders>
  <x:cellStyleXfs count="1">
    <x:xf numFmtId="0" fontId="0" fillId="0" borderId="0" applyFont="1" applyAlignment="1"/>
  </x:cellStyleXfs>
  <x:cellXfs count="10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wrapText="1"/>
    </x:xf>
    <x:xf numFmtId="0" fontId="2" fillId="0" borderId="0" xfId="0" applyFont="1" applyAlignment="1">
      <x:alignment wrapText="1"/>
    </x:xf>
    <x:xf numFmtId="0" fontId="3" fillId="3" borderId="0" xfId="0" applyFont="1" applyFill="1" applyAlignment="1">
      <x:alignment horizontal="center" vertical="center" wrapText="1"/>
    </x:xf>
    <x:xf numFmtId="164" fontId="2" fillId="0" borderId="0" xfId="0" applyNumberFormat="1" applyFont="1" applyAlignment="1">
      <x:alignment wrapText="1"/>
    </x:xf>
    <x:xf numFmtId="1" fontId="2" fillId="0" borderId="0" xfId="0" applyNumberFormat="1" applyFont="1" applyAlignment="1">
      <x:alignment wrapText="1"/>
    </x:xf>
    <x:xf numFmtId="1" fontId="2" fillId="0" borderId="0" xfId="0" applyNumberFormat="1" applyFont="1" applyAlignment="1">
      <x:alignment wrapText="1"/>
    </x:xf>
    <x:xf numFmtId="164" fontId="2" fillId="0" borderId="0" xfId="0" applyNumberFormat="1" applyFont="1" applyAlignment="1">
      <x:alignment wrapText="1"/>
    </x:xf>
    <x:xf numFmtId="9" fontId="2" fillId="0" borderId="0" xfId="0" applyNumberFormat="1" applyFont="1" applyAlignment="1">
      <x:alignment wrapText="1"/>
    </x:xf>
    <x:xf numFmtId="0" fontId="2" fillId="0" borderId="0" xfId="0" applyFont="1" applyAlignment="1">
      <x:alignment wrapText="1"/>
    </x:xf>
    <x:xf numFmtId="0" fontId="3" fillId="3" borderId="0" xfId="0" applyFont="1" applyAlignment="1">
      <x:alignment horizontal="center" vertical="center" wrapText="1"/>
    </x:xf>
    <x:xf numFmtId="165" fontId="2" fillId="0" borderId="0" xfId="0" applyNumberFormat="1" applyFont="1" applyAlignment="1">
      <x:alignment wrapText="1"/>
    </x:xf>
    <x:xf numFmtId="0" fontId="2" fillId="0" borderId="0" xfId="0" applyFont="1" applyAlignment="1">
      <x:alignment wrapText="1"/>
    </x:xf>
    <x:xf numFmtId="0" fontId="2" fillId="0" borderId="0" xfId="0" applyFont="1" applyAlignment="1">
      <x:alignment wrapText="1"/>
    </x:xf>
    <x:xf numFmtId="164" fontId="2" fillId="0" borderId="0" xfId="0" applyNumberFormat="1" applyFont="1" applyAlignment="1">
      <x:alignment wrapText="1"/>
    </x:xf>
    <x:xf numFmtId="164" fontId="2" fillId="0" borderId="0" xfId="0" applyNumberFormat="1" applyFont="1" applyAlignment="1">
      <x:alignment wrapText="1"/>
    </x:xf>
    <x:xf numFmtId="0" fontId="2" fillId="4" borderId="0" xfId="0" applyFont="1" applyFill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164" fontId="2" fillId="0" borderId="0" xfId="0" applyNumberFormat="1" applyFont="1" applyFill="1" applyBorder="1" applyAlignment="1">
      <x:alignment wrapText="1"/>
    </x:xf>
    <x:xf numFmtId="1" fontId="2" fillId="0" borderId="0" xfId="0" applyNumberFormat="1" applyFont="1" applyFill="1" applyBorder="1" applyAlignment="1">
      <x:alignment wrapText="1"/>
    </x:xf>
    <x:xf numFmtId="9" fontId="2" fillId="0" borderId="0" xfId="0" applyNumberFormat="1" applyFont="1" applyFill="1" applyBorder="1" applyAlignment="1">
      <x:alignment wrapText="1"/>
    </x:xf>
    <x:xf numFmtId="165" fontId="2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wrapText="1"/>
    </x:xf>
    <x:xf numFmtId="20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4" borderId="0" xfId="0" applyNumberFormat="1" applyFont="1" applyFill="1" applyBorder="1" applyAlignment="1">
      <x:alignment wrapText="1"/>
    </x:xf>
    <x:xf numFmtId="202" fontId="3" fillId="3" borderId="0" xfId="0" applyNumberFormat="1" applyFont="1" applyFill="1" applyBorder="1" applyAlignment="1">
      <x:alignment horizontal="center" vertical="center" wrapText="1"/>
    </x:xf>
    <x:xf numFmtId="203" fontId="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bottom" wrapText="0"/>
    </x:xf>
    <x:xf numFmtId="0" fontId="4" fillId="5" borderId="0" xfId="0" applyNumberFormat="1" applyFont="1" applyFill="1" applyBorder="1" applyAlignment="1">
      <x:alignment vertical="bottom" wrapText="0"/>
    </x:xf>
    <x:xf numFmtId="0" fontId="4" fillId="5" borderId="0" xfId="0" applyNumberFormat="1" applyFont="1" applyFill="1" applyBorder="1" applyAlignment="1">
      <x:alignment horizontal="center" vertical="bottom" wrapText="0"/>
    </x:xf>
    <x:xf numFmtId="0" fontId="4" fillId="5" borderId="0" xfId="0" applyNumberFormat="1" applyFont="1" applyFill="1" applyBorder="1" applyAlignment="1">
      <x:alignment horizontal="center" vertical="center" wrapText="0"/>
    </x:xf>
    <x:xf numFmtId="0" fontId="3" fillId="5" borderId="0" xfId="0" applyNumberFormat="1" applyFont="1" applyFill="1" applyBorder="1" applyAlignment="1">
      <x:alignment vertical="bottom" wrapText="0"/>
    </x:xf>
    <x:xf numFmtId="0" fontId="3" fillId="5" borderId="0" xfId="0" applyNumberFormat="1" applyFont="1" applyFill="1" applyBorder="1" applyAlignment="1">
      <x:alignment horizontal="center" vertical="bottom" wrapText="0"/>
    </x:xf>
    <x:xf numFmtId="0" fontId="3" fillId="5" borderId="0" xfId="0" applyNumberFormat="1" applyFont="1" applyFill="1" applyBorder="1" applyAlignment="1">
      <x:alignment horizontal="center" vertical="center" wrapText="0"/>
    </x:xf>
    <x:xf numFmtId="202" fontId="0" fillId="0" borderId="0" xfId="0" applyNumberFormat="1" applyFont="1" applyFill="1" applyBorder="1" applyAlignment="1">
      <x:alignment vertical="bottom" wrapText="0"/>
    </x:xf>
    <x:xf numFmtId="203" fontId="0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bottom" wrapText="1"/>
    </x:xf>
    <x:xf numFmtId="202" fontId="0" fillId="0" borderId="0" xfId="0" applyNumberFormat="1" applyFont="1" applyFill="1" applyBorder="1" applyAlignment="1">
      <x:alignment vertical="bottom" wrapText="1"/>
    </x:xf>
    <x:xf numFmtId="204" fontId="0" fillId="0" borderId="0" xfId="0" applyNumberFormat="1" applyFont="1" applyFill="1" applyBorder="1" applyAlignment="1">
      <x:alignment vertical="bottom" wrapText="0"/>
    </x:xf>
    <x:xf numFmtId="204" fontId="0" fillId="0" borderId="0" xfId="0" applyNumberFormat="1" applyFont="1" applyFill="1" applyBorder="1" applyAlignment="1">
      <x:alignment vertical="bottom" wrapText="1"/>
    </x:xf>
    <x:xf numFmtId="0" fontId="5" fillId="0" borderId="0" xfId="0" applyNumberFormat="1" applyFont="1" applyFill="1" applyBorder="1" applyAlignment="1">
      <x:alignment vertical="bottom" wrapText="0"/>
    </x:xf>
    <x:xf numFmtId="204" fontId="5" fillId="0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bottom" wrapText="0"/>
    </x:xf>
    <x:xf numFmtId="0" fontId="8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164" fontId="8" fillId="0" borderId="0" xfId="0" applyNumberFormat="1" applyFont="1" applyFill="1" applyBorder="1" applyAlignment="1">
      <x:alignment wrapText="1"/>
    </x:xf>
    <x:xf numFmtId="1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203" fontId="8" fillId="0" borderId="0" xfId="0" applyNumberFormat="1" applyFont="1" applyFill="1" applyBorder="1" applyAlignment="1">
      <x:alignment wrapText="1"/>
    </x:xf>
    <x:xf numFmtId="202" fontId="6" fillId="3" borderId="0" xfId="0" applyNumberFormat="1" applyFont="1" applyFill="1" applyBorder="1" applyAlignment="1">
      <x:alignment horizontal="center" vertical="center" wrapText="1"/>
    </x:xf>
    <x:xf numFmtId="9" fontId="8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0"/>
    </x:xf>
    <x:xf numFmtId="0" fontId="8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164" fontId="8" fillId="0" borderId="0" xfId="0" applyNumberFormat="1" applyFont="1" applyFill="1" applyBorder="1" applyAlignment="1">
      <x:alignment vertical="top" wrapText="1"/>
    </x:xf>
    <x:xf numFmtId="1" fontId="8" fillId="0" borderId="0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 applyAlignment="1">
      <x:alignment vertical="top" wrapText="1"/>
    </x:xf>
    <x:xf numFmtId="203" fontId="8" fillId="0" borderId="0" xfId="0" applyNumberFormat="1" applyFont="1" applyFill="1" applyBorder="1" applyAlignment="1">
      <x:alignment vertical="top" wrapText="1"/>
    </x:xf>
    <x:xf numFmtId="202" fontId="6" fillId="3" borderId="0" xfId="0" applyNumberFormat="1" applyFont="1" applyFill="1" applyBorder="1" applyAlignment="1">
      <x:alignment horizontal="center" vertical="top" wrapText="1"/>
    </x:xf>
    <x:xf numFmtId="9" fontId="8" fillId="0" borderId="0" xfId="0" applyNumberFormat="1" applyFont="1" applyFill="1" applyBorder="1" applyAlignment="1">
      <x:alignment vertical="top" wrapText="1"/>
    </x:xf>
    <x:xf numFmtId="20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200" fontId="8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vertical="top" wrapText="1"/>
    </x:xf>
    <x:xf numFmtId="202" fontId="8" fillId="4" borderId="0" xfId="0" applyNumberFormat="1" applyFont="1" applyFill="1" applyBorder="1" applyAlignment="1">
      <x:alignment wrapText="1"/>
    </x:xf>
    <x:xf numFmtId="202" fontId="8" fillId="4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center" wrapText="0"/>
    </x:xf>
    <x:xf numFmtId="202" fontId="7" fillId="0" borderId="0" xfId="0" applyNumberFormat="1" applyFont="1" applyFill="1" applyBorder="1" applyAlignment="1">
      <x:alignment vertical="bottom" wrapText="0"/>
    </x:xf>
    <x:xf numFmtId="203" fontId="7" fillId="0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horizontal="center" vertical="top" wrapText="0"/>
    </x:xf>
    <x:xf numFmtId="202" fontId="7" fillId="0" borderId="0" xfId="0" applyNumberFormat="1" applyFont="1" applyFill="1" applyBorder="1" applyAlignment="1">
      <x:alignment vertical="top" wrapText="0"/>
    </x:xf>
    <x:xf numFmtId="203" fontId="7" fillId="0" borderId="0" xfId="0" applyNumberFormat="1" applyFont="1" applyFill="1" applyBorder="1" applyAlignment="1">
      <x:alignment vertical="top" wrapText="0"/>
    </x:xf>
    <x:xf numFmtId="0" fontId="7" fillId="0" borderId="0" xfId="0" applyNumberFormat="1" applyFont="1" applyFill="1" applyBorder="1" applyAlignment="1">
      <x:alignment vertical="bottom" wrapText="1"/>
    </x:xf>
    <x:xf numFmtId="202" fontId="7" fillId="0" borderId="0" xfId="0" applyNumberFormat="1" applyFont="1" applyFill="1" applyBorder="1" applyAlignment="1">
      <x:alignment vertical="bottom" wrapText="1"/>
    </x:xf>
    <x:xf numFmtId="0" fontId="7" fillId="0" borderId="0" xfId="0" applyNumberFormat="1" applyFont="1" applyFill="1" applyBorder="1" applyAlignment="1">
      <x:alignment vertical="top" wrapText="1"/>
    </x:xf>
    <x:xf numFmtId="202" fontId="7" fillId="0" borderId="0" xfId="0" applyNumberFormat="1" applyFont="1" applyFill="1" applyBorder="1" applyAlignment="1">
      <x:alignment vertical="top" wrapText="1"/>
    </x:xf>
    <x:xf numFmtId="204" fontId="7" fillId="0" borderId="0" xfId="0" applyNumberFormat="1" applyFont="1" applyFill="1" applyBorder="1" applyAlignment="1">
      <x:alignment vertical="bottom" wrapText="1"/>
    </x:xf>
    <x:xf numFmtId="204" fontId="9" fillId="0" borderId="0" xfId="0" applyNumberFormat="1" applyFont="1" applyFill="1" applyBorder="1" applyAlignment="1">
      <x:alignment vertical="bottom" wrapText="0"/>
    </x:xf>
    <x:xf numFmtId="0" fontId="9" fillId="0" borderId="0" xfId="0" applyNumberFormat="1" applyFont="1" applyFill="1" applyBorder="1" applyAlignment="1">
      <x:alignment vertical="bottom" wrapText="0"/>
    </x:xf>
    <x:xf numFmtId="204" fontId="7" fillId="0" borderId="0" xfId="0" applyNumberFormat="1" applyFont="1" applyFill="1" applyBorder="1" applyAlignment="1">
      <x:alignment vertical="top" wrapText="1"/>
    </x:xf>
    <x:xf numFmtId="204" fontId="9" fillId="0" borderId="0" xfId="0" applyNumberFormat="1" applyFont="1" applyFill="1" applyBorder="1" applyAlignment="1">
      <x:alignment vertical="top" wrapText="0"/>
    </x:xf>
    <x:xf numFmtId="0" fontId="9" fillId="0" borderId="0" xfId="0" applyNumberFormat="1" applyFont="1" applyFill="1" applyBorder="1" applyAlignment="1">
      <x:alignment vertical="top" wrapText="0"/>
    </x:xf>
    <x:xf numFmtId="0" fontId="10" fillId="5" borderId="0" xfId="0" applyNumberFormat="1" applyFont="1" applyFill="1" applyBorder="1" applyAlignment="1">
      <x:alignment horizontal="center" vertical="top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center" vertical="top" wrapText="0"/>
    </x:xf>
    <x:xf numFmtId="0" fontId="10" fillId="5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15">
    <x:dxf>
      <x:font>
        <x:b/>
        <x:color rgb="FF991B1B"/>
      </x:font>
      <x:fill>
        <x:patternFill>
          <x:bgColor rgb="FFFEE2E2"/>
        </x:patternFill>
      </x:fill>
      <x:border/>
    </x:dxf>
    <x:dxf>
      <x:font>
        <x:b/>
        <x:color rgb="FF166534"/>
      </x:font>
      <x:fill>
        <x:patternFill>
          <x:bgColor rgb="FFDCFCE7"/>
        </x:patternFill>
      </x:fill>
      <x:border/>
    </x:dxf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fill>
        <x:patternFill>
          <x:bgColor rgb="FFDCFCE7"/>
        </x:patternFill>
      </x:fill>
      <x:border/>
    </x:dxf>
    <x:dxf>
      <x:fill>
        <x:patternFill>
          <x:bgColor rgb="FFFEE2E2"/>
        </x:patternFill>
      </x:fill>
      <x:border/>
    </x:dxf>
    <x:dxf>
      <x:fill>
        <x:patternFill>
          <x:bgColor rgb="FFFEF3C7"/>
        </x:patternFill>
      </x:fill>
      <x:border/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fd83f85d241a1" /><Relationship Type="http://schemas.openxmlformats.org/officeDocument/2006/relationships/theme" Target="/xl/theme/theme1.xml" Id="R741ee8c9f7d74599" /><Relationship Type="http://schemas.openxmlformats.org/officeDocument/2006/relationships/sharedStrings" Target="/xl/sharedStrings.xml" Id="R2acaceb20e844314" /><Relationship Type="http://schemas.openxmlformats.org/officeDocument/2006/relationships/worksheet" Target="/xl/worksheets/sheet1.xml" Id="Rd04402238f7146e3" /><Relationship Type="http://schemas.openxmlformats.org/officeDocument/2006/relationships/worksheet" Target="/xl/worksheets/sheet2.xml" Id="R02a76cd81e2c40f1" /><Relationship Type="http://schemas.openxmlformats.org/officeDocument/2006/relationships/worksheet" Target="/xl/worksheets/sheet3.xml" Id="R7543f7ce2af04381" /><Relationship Type="http://schemas.openxmlformats.org/officeDocument/2006/relationships/worksheet" Target="/xl/worksheets/sheet4.xml" Id="R9ec693cf4410495b" /><Relationship Type="http://schemas.openxmlformats.org/officeDocument/2006/relationships/worksheet" Target="/xl/worksheets/sheet5.xml" Id="Rc9a8e5d8669849b3" /><Relationship Type="http://schemas.openxmlformats.org/officeDocument/2006/relationships/worksheet" Target="/xl/worksheets/sheet6.xml" Id="Ra5382eea32b14d69" /><Relationship Type="http://schemas.openxmlformats.org/officeDocument/2006/relationships/worksheet" Target="/xl/worksheets/sheet7.xml" Id="R14a9c9d5c35b4813" /><Relationship Type="http://schemas.openxmlformats.org/officeDocument/2006/relationships/worksheet" Target="/xl/worksheets/sheet8.xml" Id="R91deb102834d41b2" /><Relationship Type="http://schemas.openxmlformats.org/officeDocument/2006/relationships/worksheet" Target="/xl/worksheets/sheet9.xml" Id="R3ffddd9c285145e6" /><Relationship Type="http://schemas.openxmlformats.org/officeDocument/2006/relationships/worksheet" Target="/xl/worksheets/sheet10.xml" Id="Re8a2d3aeb6f741d5" /><Relationship Type="http://schemas.openxmlformats.org/officeDocument/2006/relationships/worksheet" Target="/xl/worksheets/sheet11.xml" Id="R8fc5b654cab84a30" /><Relationship Type="http://schemas.openxmlformats.org/officeDocument/2006/relationships/worksheet" Target="/xl/worksheets/sheet12.xml" Id="R1354cf1fb97049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fe92be6a7c4927" /><Relationship Type="http://schemas.openxmlformats.org/officeDocument/2006/relationships/chart" Target="/xl/drawings/charts/chart2.xml" Id="R8ac275d69f6349a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Profit</c:v>
          </c:tx>
          <c:cat>
            <c:strRef>
              <c:f>'Profit Simulation'!$A$4:$A$10</c:f>
              <c:strCache>
                <c:ptCount val="0"/>
              </c:strCache>
            </c:strRef>
          </c:cat>
          <c:val>
            <c:numRef>
              <c:f>'Profit Simulation'!$E$4:$E$10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varyColors val="0"/>
        <c:ser>
          <c:idx val="0"/>
          <c:order val="0"/>
          <c:tx>
            <c:v>Expenses</c:v>
          </c:tx>
          <c:cat>
            <c:strRef>
              <c:f>'Dashboard'!$E$4:$E$13</c:f>
              <c:strCache>
                <c:ptCount val="0"/>
              </c:strCache>
            </c:strRef>
          </c:cat>
          <c:val>
            <c:numRef>
              <c:f>'Dashboard'!$F$4:$F$13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fe92be6a7c4927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c275d69f6349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_1" displayName="Table_1" ref="A1:G16">
  <x:tableColumns count="7">
    <x:tableColumn id="1" name="Дата"/>
    <x:tableColumn id="2" name="Участница"/>
    <x:tableColumn id="3" name="Тип платежа"/>
    <x:tableColumn id="4" name="Сумма (€)"/>
    <x:tableColumn id="5" name="Статус"/>
    <x:tableColumn id="6" name="Способ оплаты"/>
    <x:tableColumn id="7" name="Комментарий"/>
  </x:tableColumns>
  <x:tableStyleInfo name="Income-style" showFirstColumn="1" showLastColumn="1" showRowStripes="1"/>
</x:table>
</file>

<file path=xl/tables/table2.xml><?xml version="1.0" encoding="utf-8"?>
<x:table xmlns:x="http://schemas.openxmlformats.org/spreadsheetml/2006/main" id="6" name="IncomeTable" displayName="IncomeTable" ref="A1:H101" headerRowCount="1">
  <x:tableColumns count="8">
    <x:tableColumn id="1" name="Дата"/>
    <x:tableColumn id="2" name="Участница"/>
    <x:tableColumn id="3" name="Тип платежа"/>
    <x:tableColumn id="4" name="Сумма (€)"/>
    <x:tableColumn id="5" name="Статус"/>
    <x:tableColumn id="6" name="Способ оплаты"/>
    <x:tableColumn id="7" name="Комментарий"/>
    <x:tableColumn id="8" name="Месяц"/>
  </x:tableColumns>
  <x:tableStyleInfo name="TableStyleMedium2" showRowStripes="1"/>
</x:table>
</file>

<file path=xl/tables/table3.xml><?xml version="1.0" encoding="utf-8"?>
<x:table xmlns:x="http://schemas.openxmlformats.org/spreadsheetml/2006/main" id="2" name="Table_2" displayName="Table_2" ref="A1:G14">
  <x:tableColumns count="7">
    <x:tableColumn id="1" name="Дата"/>
    <x:tableColumn id="2" name="Категория"/>
    <x:tableColumn id="3" name="Описание"/>
    <x:tableColumn id="4" name="Сумма (€)"/>
    <x:tableColumn id="5" name="Оплачено"/>
    <x:tableColumn id="6" name="Статус"/>
    <x:tableColumn id="7" name="Комментарий"/>
  </x:tableColumns>
  <x:tableStyleInfo name="Expenses-style" showFirstColumn="1" showLastColumn="1" showRowStripes="1"/>
</x:table>
</file>

<file path=xl/tables/table4.xml><?xml version="1.0" encoding="utf-8"?>
<x:table xmlns:x="http://schemas.openxmlformats.org/spreadsheetml/2006/main" id="8" name="ExpensesTable" displayName="ExpensesTable" ref="A1:J101" headerRowCount="1">
  <x:tableColumns count="10">
    <x:tableColumn id="1" name="Дата"/>
    <x:tableColumn id="2" name="Категория"/>
    <x:tableColumn id="3" name="Описание"/>
    <x:tableColumn id="4" name="План (€)"/>
    <x:tableColumn id="5" name="Оплачено (€)"/>
    <x:tableColumn id="6" name="Остаток (€)"/>
    <x:tableColumn id="7" name="Статус"/>
    <x:tableColumn id="8" name="Срок оплаты"/>
    <x:tableColumn id="9" name="Обязательно?"/>
    <x:tableColumn id="10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3" name="Table_3" displayName="Table_3" ref="A1:J16">
  <x:tableColumns count="10">
    <x:tableColumn id="1" name="№"/>
    <x:tableColumn id="2" name="Имя"/>
    <x:tableColumn id="3" name="Телефон"/>
    <x:tableColumn id="4" name="Email"/>
    <x:tableColumn id="5" name="Депозит (€)"/>
    <x:tableColumn id="6" name="Остаток (€)"/>
    <x:tableColumn id="7" name="Оплата всего (€)"/>
    <x:tableColumn id="8" name="Анкета здоровья"/>
    <x:tableColumn id="9" name="Договор"/>
    <x:tableColumn id="10" name="Статус"/>
  </x:tableColumns>
  <x:tableStyleInfo name="Participants-style" showFirstColumn="1" showLastColumn="1" showRowStripes="1"/>
</x:table>
</file>

<file path=xl/tables/table6.xml><?xml version="1.0" encoding="utf-8"?>
<x:table xmlns:x="http://schemas.openxmlformats.org/spreadsheetml/2006/main" id="7" name="ParticipantsTable" displayName="ParticipantsTable" ref="A1:P101" headerRowCount="1">
  <x:tableColumns count="16">
    <x:tableColumn id="1" name="№"/>
    <x:tableColumn id="2" name="Имя"/>
    <x:tableColumn id="3" name="Телефон"/>
    <x:tableColumn id="4" name="Email"/>
    <x:tableColumn id="5" name="Комната"/>
    <x:tableColumn id="6" name="Roommate"/>
    <x:tableColumn id="7" name="Всего оплачено (€)"/>
    <x:tableColumn id="8" name="Остаток (€)"/>
    <x:tableColumn id="9" name="Статус оплаты"/>
    <x:tableColumn id="10" name="Договор"/>
    <x:tableColumn id="11" name="Анкета здоровья"/>
    <x:tableColumn id="12" name="Фото/видео"/>
    <x:tableColumn id="13" name="Sicherungsschein"/>
    <x:tableColumn id="14" name="Билет"/>
    <x:tableColumn id="15" name="Трансфер"/>
    <x:tableColumn id="16" name="Комментарий"/>
  </x:tableColumns>
  <x:tableStyleInfo name="TableStyleMedium2" showRowStripes="1"/>
</x:table>
</file>

<file path=xl/tables/table7.xml><?xml version="1.0" encoding="utf-8"?>
<x:table xmlns:x="http://schemas.openxmlformats.org/spreadsheetml/2006/main" id="4" name="Table_4" displayName="Table_4" ref="A1:F12">
  <x:tableColumns count="6">
    <x:tableColumn id="1" name="Задача"/>
    <x:tableColumn id="2" name="Срок"/>
    <x:tableColumn id="3" name="Приоритет"/>
    <x:tableColumn id="4" name="Статус"/>
    <x:tableColumn id="5" name="Ответственная"/>
    <x:tableColumn id="6" name="Комментарий"/>
  </x:tableColumns>
  <x:tableStyleInfo name="Tasks-style" showFirstColumn="1" showLastColumn="1" showRowStripes="1"/>
</x:table>
</file>

<file path=xl/tables/table8.xml><?xml version="1.0" encoding="utf-8"?>
<x:table xmlns:x="http://schemas.openxmlformats.org/spreadsheetml/2006/main" id="9" name="TasksTable" displayName="TasksTable" ref="A1:F101" headerRowCount="1">
  <x:tableColumns count="6">
    <x:tableColumn id="1" name="Задача"/>
    <x:tableColumn id="2" name="Срок"/>
    <x:tableColumn id="3" name="Приоритет"/>
    <x:tableColumn id="4" name="Статус"/>
    <x:tableColumn id="5" name="Ответственная"/>
    <x:tableColumn id="6" name="Комментарий"/>
  </x:tableColumns>
  <x:tableStyleInfo name="TableStyleMedium2" showRowStripes="1"/>
</x:table>
</file>

<file path=xl/tables/table9.xml><?xml version="1.0" encoding="utf-8"?>
<x:table xmlns:x="http://schemas.openxmlformats.org/spreadsheetml/2006/main" id="5" name="Table_5" displayName="Table_5" ref="A1:G9">
  <x:tableColumns count="7">
    <x:tableColumn id="1" name="Документ / вопрос"/>
    <x:tableColumn id="2" name="Тип"/>
    <x:tableColumn id="3" name="Статус"/>
    <x:tableColumn id="4" name="Ответственный"/>
    <x:tableColumn id="5" name="Дата"/>
    <x:tableColumn id="6" name="Ссылка / место хранения"/>
    <x:tableColumn id="7" name="Комментарий"/>
  </x:tableColumns>
  <x:tableStyleInfo name="Legal &amp; Insurance-style" showFirstColumn="1" showLastColumn="1" showRowStripes="1"/>
</x:table>
</file>

<file path=xl/tables/table10.xml><?xml version="1.0" encoding="utf-8"?>
<x:table xmlns:x="http://schemas.openxmlformats.org/spreadsheetml/2006/main" id="10" name="LegalInsuranceTable" displayName="LegalInsuranceTable" ref="A1:G101" headerRowCount="1">
  <x:tableColumns count="7">
    <x:tableColumn id="1" name="Документ / вопрос"/>
    <x:tableColumn id="2" name="Тип"/>
    <x:tableColumn id="3" name="Статус"/>
    <x:tableColumn id="4" name="Ответственный"/>
    <x:tableColumn id="5" name="Дата"/>
    <x:tableColumn id="6" name="Номер / ссылка"/>
    <x:tableColumn id="7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017a90e99b41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980612288614e9b" /><Relationship Type="http://schemas.openxmlformats.org/officeDocument/2006/relationships/table" Target="/xl/tables/table2.xml" Id="R8a376d058c5d4c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ffc7cf55d940cd" /><Relationship Type="http://schemas.openxmlformats.org/officeDocument/2006/relationships/table" Target="/xl/tables/table4.xml" Id="R077f4677125f49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d43cc7332164e70" /><Relationship Type="http://schemas.openxmlformats.org/officeDocument/2006/relationships/table" Target="/xl/tables/table6.xml" Id="R59f7aa40272b46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21cff1d9c4be47fa" /><Relationship Type="http://schemas.openxmlformats.org/officeDocument/2006/relationships/table" Target="/xl/tables/table8.xml" Id="Rce4b0afb36fd42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d1039f07d43a471c" /><Relationship Type="http://schemas.openxmlformats.org/officeDocument/2006/relationships/table" Target="/xl/tables/table10.xml" Id="R60de2e152c564f15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6" hidden="0" customWidth="1"/>
    <x:col min="2" max="8" width="18" customWidth="1"/>
    <x:col min="9" max="26" width="8.630000114440918" customWidth="1"/>
    <x:col min="2" max="2" width="22" hidden="0" customWidth="1"/>
    <x:col min="3" max="3" width="44" hidden="0" customWidth="1"/>
    <x:col min="5" max="5" width="18" hidden="0" customWidth="1"/>
    <x:col min="6" max="6" width="16" hidden="0" customWidth="1"/>
    <x:col min="7" max="7" width="12" hidden="0" customWidth="1"/>
  </x:cols>
  <x:sheetData>
    <x:row r="1">
      <x:c r="A1" s="101" t="str">
        <x:v>NA TALIYA CLUB — Retreat Finance &amp; Project Dashboard</x:v>
      </x:c>
      <x:c r="B1" s="67"/>
      <x:c r="C1" s="67"/>
      <x:c r="D1" s="67"/>
      <x:c r="E1" s="67"/>
      <x:c r="F1" s="67"/>
      <x:c r="G1" s="67"/>
      <x:c r="H1" s="67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66" t="str">
        <x:v>KPI</x:v>
      </x:c>
      <x:c r="B3" s="66" t="str">
        <x:v>Значение</x:v>
      </x:c>
      <x:c r="C3" s="66" t="str">
        <x:v>Комментарий</x:v>
      </x:c>
      <x:c r="D3" s="69"/>
      <x:c r="E3" s="66" t="str">
        <x:v>Категория</x:v>
      </x:c>
      <x:c r="F3" s="66" t="str">
        <x:v>Сумма</x:v>
      </x:c>
      <x:c r="G3" s="66" t="str">
        <x:v>Доля</x:v>
      </x:c>
      <x:c r="H3" s="69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8" t="str">
        <x:v>Участниц с оплатой / депозитом</x:v>
      </x:c>
      <x:c r="B4" s="70" t="n">
        <x:f>COUNTIF(Participants!$G$2:$G$101,"&gt;0")</x:f>
        <x:v>10</x:v>
      </x:c>
      <x:c r="C4" s="68" t="str">
        <x:v>Текущий статус</x:v>
      </x:c>
      <x:c r="D4" s="68"/>
      <x:c r="E4" s="71" t="str">
        <x:v>Проживание</x:v>
      </x:c>
      <x:c r="F4" s="72" t="n">
        <x:f>SUMIF(Expenses!$B:$B,E4,Expenses!$D:$D)</x:f>
        <x:v>5337</x:v>
      </x:c>
      <x:c r="G4" s="73" t="n">
        <x:f>IF($B$13=0,0,F4/$B$13)</x:f>
        <x:v>0.40254727875173385</x:v>
      </x:c>
      <x:c r="H4" s="70">
        <x:f t="shared" ref="H4:H6" si="1">F4-G4</x:f>
      </x:c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68" t="str">
        <x:v>Цель участниц</x:v>
      </x:c>
      <x:c r="B5" s="73" t="n">
        <x:f>Inputs!$B$8</x:f>
        <x:v>13</x:v>
      </x:c>
      <x:c r="C5" s="68" t="str">
        <x:v>План</x:v>
      </x:c>
      <x:c r="D5" s="68"/>
      <x:c r="E5" s="71" t="str">
        <x:v>Логистика</x:v>
      </x:c>
      <x:c r="F5" s="72" t="n">
        <x:f>SUMIF(Expenses!$B:$B,E5,Expenses!$D:$D)</x:f>
        <x:v>900</x:v>
      </x:c>
      <x:c r="G5" s="73" t="n">
        <x:f>IF($B$13=0,0,F5/$B$13)</x:f>
        <x:v>0.06788318360062966</x:v>
      </x:c>
      <x:c r="H5" s="70">
        <x:f t="shared" si="1"/>
      </x:c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68" t="str">
        <x:v>Осталось до цели</x:v>
      </x:c>
      <x:c r="B6" s="71" t="n">
        <x:f>MAX(0,B5-B4)</x:f>
        <x:v>3</x:v>
      </x:c>
      <x:c r="C6" s="68" t="str">
        <x:v>Сколько мест ещё продать</x:v>
      </x:c>
      <x:c r="D6" s="68"/>
      <x:c r="E6" s="71" t="str">
        <x:v>Активности</x:v>
      </x:c>
      <x:c r="F6" s="72" t="n">
        <x:f>SUMIF(Expenses!$B:$B,E6,Expenses!$D:$D)</x:f>
        <x:v>2300</x:v>
      </x:c>
      <x:c r="G6" s="73" t="n">
        <x:f>IF($B$13=0,0,F6/$B$13)</x:f>
        <x:v>0.1734792469793869</x:v>
      </x:c>
      <x:c r="H6" s="70">
        <x:f t="shared" si="1"/>
      </x:c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68" t="str">
        <x:v>Заполненность группы</x:v>
      </x:c>
      <x:c r="B7" s="72" t="n">
        <x:f>IF(B5=0,0,B4/B5)</x:f>
        <x:v>0.7692307692307693</x:v>
      </x:c>
      <x:c r="C7" s="68" t="str"/>
      <x:c r="D7" s="68"/>
      <x:c r="E7" s="68" t="str">
        <x:v>Питание</x:v>
      </x:c>
      <x:c r="F7" s="72" t="n">
        <x:f>SUMIF(Expenses!$B:$B,E7,Expenses!$D:$D)</x:f>
        <x:v>2000</x:v>
      </x:c>
      <x:c r="G7" s="73" t="n">
        <x:f>IF($B$13=0,0,F7/$B$13)</x:f>
        <x:v>0.15085151911251035</x:v>
      </x:c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68" t="str">
        <x:v>Цена тура</x:v>
      </x:c>
      <x:c r="B8" s="72" t="n">
        <x:f>Inputs!$B$7</x:f>
        <x:v>1190</x:v>
      </x:c>
      <x:c r="C8" s="68" t="str"/>
      <x:c r="D8" s="68"/>
      <x:c r="E8" s="68" t="str">
        <x:v>Подарки</x:v>
      </x:c>
      <x:c r="F8" s="72" t="n">
        <x:f>SUMIF(Expenses!$B:$B,E8,Expenses!$D:$D)</x:f>
        <x:v>520</x:v>
      </x:c>
      <x:c r="G8" s="73" t="n">
        <x:f>IF($B$13=0,0,F8/$B$13)</x:f>
        <x:v>0.03922139496925269</x:v>
      </x:c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68" t="str">
        <x:v>Поступило денег</x:v>
      </x:c>
      <x:c r="B9" s="72" t="n">
        <x:f>SUM(Income!$D$2:$D$101)</x:f>
        <x:v>6960</x:v>
      </x:c>
      <x:c r="C9" s="68" t="str">
        <x:v>Фактический cash-in</x:v>
      </x:c>
      <x:c r="D9" s="69"/>
      <x:c r="E9" s="69" t="str">
        <x:v>Контент</x:v>
      </x:c>
      <x:c r="F9" s="74" t="n">
        <x:f>SUMIF(Expenses!$B:$B,E9,Expenses!$D:$D)</x:f>
        <x:v>500</x:v>
      </x:c>
      <x:c r="G9" s="73" t="n">
        <x:f>IF($B$13=0,0,F9/$B$13)</x:f>
        <x:v>0.03771287977812759</x:v>
      </x:c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68" t="str">
        <x:v>Ожидаемый доход с текущих участниц</x:v>
      </x:c>
      <x:c r="B10" s="72" t="n">
        <x:f>B4*B8</x:f>
        <x:v>11900</x:v>
      </x:c>
      <x:c r="C10" s="68" t="str">
        <x:v>Если все текущие доплатят</x:v>
      </x:c>
      <x:c r="D10" s="68"/>
      <x:c r="E10" s="70" t="str">
        <x:v>Перелёты</x:v>
      </x:c>
      <x:c r="F10" s="72" t="n">
        <x:f t="shared" ref="F10:F16" si="2">SUMIF(Expenses!$B:$B,E10,Expenses!$D:$D)</x:f>
        <x:v>500</x:v>
      </x:c>
      <x:c r="G10" s="73" t="n">
        <x:f>IF($B$13=0,0,F10/$B$13)</x:f>
        <x:v>0.03771287977812759</x:v>
      </x:c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68" t="str">
        <x:v>Остатки к оплате с текущих</x:v>
      </x:c>
      <x:c r="B11" s="72" t="n">
        <x:f>MAX(0,B10-B9)</x:f>
        <x:v>4940</x:v>
      </x:c>
      <x:c r="C11" s="68" t="str"/>
      <x:c r="D11" s="68"/>
      <x:c r="E11" s="70" t="str">
        <x:v>Страхование</x:v>
      </x:c>
      <x:c r="F11" s="72" t="n">
        <x:f t="shared" si="2">SUMIF(Expenses!$B:$B,E11,Expenses!$D:$D)</x:f>
        <x:v>701.0699999999999</x:v>
      </x:c>
      <x:c r="G11" s="73" t="n">
        <x:f>IF($B$13=0,0,F11/$B$13)</x:f>
        <x:v>0.05287873725210381</x:v>
      </x:c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69" t="str">
        <x:v>Плановый доход при цели</x:v>
      </x:c>
      <x:c r="B12" s="74" t="n">
        <x:f>B5*B8</x:f>
        <x:v>15470</x:v>
      </x:c>
      <x:c r="C12" s="68" t="str"/>
      <x:c r="D12" s="68"/>
      <x:c r="E12" s="70" t="str">
        <x:v>Маркетинг</x:v>
      </x:c>
      <x:c r="F12" s="72" t="n">
        <x:f t="shared" si="2">SUMIF(Expenses!$B:$B,E12,Expenses!$D:$D)</x:f>
        <x:v>0</x:v>
      </x:c>
      <x:c r="G12" s="73" t="n">
        <x:f>IF($B$13=0,0,F12/$B$13)</x:f>
        <x:v>0</x:v>
      </x:c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68" t="str">
        <x:v>Плановые расходы</x:v>
      </x:c>
      <x:c r="B13" s="72" t="n">
        <x:f>SUM(Expenses!$D$2:$D$101)</x:f>
        <x:v>13258.07</x:v>
      </x:c>
      <x:c r="C13" s="68" t="str">
        <x:v>С учетом резерва</x:v>
      </x:c>
      <x:c r="D13" s="68"/>
      <x:c r="E13" s="70" t="str">
        <x:v>Резерв</x:v>
      </x:c>
      <x:c r="F13" s="72" t="n">
        <x:f t="shared" si="2">SUMIF(Expenses!$B:$B,E13,Expenses!$D:$D)</x:f>
        <x:v>500</x:v>
      </x:c>
      <x:c r="G13" s="73" t="n">
        <x:f>IF($B$13=0,0,F13/$B$13)</x:f>
        <x:v>0.03771287977812759</x:v>
      </x:c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68" t="str">
        <x:v>Уже оплачено расходов</x:v>
      </x:c>
      <x:c r="B14" s="72" t="n">
        <x:f>SUM(Expenses!$E$2:$E$101)</x:f>
        <x:v>0</x:v>
      </x:c>
      <x:c r="C14" s="68" t="str">
        <x:v>Фактический cash-out</x:v>
      </x:c>
      <x:c r="D14" s="68"/>
      <x:c r="E14" s="70"/>
      <x:c r="F14" s="75">
        <x:f t="shared" si="2"/>
      </x:c>
      <x:c r="G14" s="68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68" t="str">
        <x:v>Осталось оплатить расходов</x:v>
      </x:c>
      <x:c r="B15" s="72" t="n">
        <x:f>SUM(Expenses!$F$2:$F$101)</x:f>
        <x:v>13258.07</x:v>
      </x:c>
      <x:c r="C15" s="68" t="str"/>
      <x:c r="D15" s="68"/>
      <x:c r="E15" s="70"/>
      <x:c r="F15" s="75">
        <x:f t="shared" si="2"/>
      </x:c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68" t="str">
        <x:v>Текущий cash balance</x:v>
      </x:c>
      <x:c r="B16" s="72" t="n">
        <x:f>B9-B14</x:f>
        <x:v>6960</x:v>
      </x:c>
      <x:c r="C16" s="68" t="str">
        <x:v>Деньги поступили минус оплаченные расходы</x:v>
      </x:c>
      <x:c r="D16" s="68"/>
      <x:c r="E16" s="70"/>
      <x:c r="F16" s="75">
        <x:f t="shared" si="2"/>
      </x:c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68" t="str">
        <x:v>Прогноз прибыли при текущих участницах</x:v>
      </x:c>
      <x:c r="B17" s="68" t="n">
        <x:f>B10-B13</x:f>
        <x:v>-1358.0699999999997</x:v>
      </x:c>
      <x:c r="C17" s="68" t="str"/>
      <x:c r="D17" s="68"/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68" t="str">
        <x:v>Прогноз прибыли при цели</x:v>
      </x:c>
      <x:c r="B18" s="73" t="n">
        <x:f>B12-B13</x:f>
        <x:v>2211.9300000000003</x:v>
      </x:c>
      <x:c r="C18" s="68" t="str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68" t="str">
        <x:v>Точка безубыточности, участниц</x:v>
      </x:c>
      <x:c r="B19" s="72" t="n">
        <x:f>IF(B8=0,0,B13/B8)</x:f>
        <x:v>11.141235294117648</x:v>
      </x:c>
      <x:c r="C19" s="68" t="str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68" t="str">
        <x:v>Маржа при цели</x:v>
      </x:c>
      <x:c r="B20" s="68" t="n">
        <x:f>IF(B12=0,0,B18/B12)</x:f>
        <x:v>0.1429819004524887</x:v>
      </x:c>
      <x:c r="C20" s="68" t="str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 ht="15.75" customHeight="1">
      <x:c r="A21" s="68" t="str">
        <x:v>Прибыль на 1 участницу при цели</x:v>
      </x:c>
      <x:c r="B21" s="68" t="n">
        <x:f>IF(B5=0,0,B18/B5)</x:f>
        <x:v>170.14846153846156</x:v>
      </x:c>
      <x:c r="C21" s="68" t="str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 ht="15.75" customHeight="1">
      <x:c r="A22" s="68" t="str">
        <x:v>Риск-статус</x:v>
      </x:c>
      <x:c r="B22" s="68" t="str">
        <x:f>IF(B4&lt;B19,"Нужно добрать места до break-even",IF(B4&lt;B5,"Почти готово: осталось "&amp;B6&amp;" мест","Цель достигнута"))</x:f>
        <x:v>Нужно добрать места до break-even</x:v>
      </x:c>
      <x:c r="C22" s="68" t="str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 ht="15.75" customHeight="1">
      <x:c r="A23" s="68"/>
      <x:c r="B23" s="68"/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 ht="15.75" customHeight="1">
      <x:c r="A24" s="66" t="str">
        <x:v>Главные финансовые риски</x:v>
      </x:c>
      <x:c r="B24" s="66" t="str">
        <x:v>Контроль</x:v>
      </x:c>
      <x:c r="C24" s="66" t="str">
        <x:v>Комментарий</x:v>
      </x:c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 ht="15.75" customHeight="1">
      <x:c r="A25" s="68" t="str">
        <x:v>Фиксированные расходы высокие</x:v>
      </x:c>
      <x:c r="B25" s="68" t="str">
        <x:f>IF(B4&lt;B19,"Высокий","Под контролем")</x:f>
        <x:v>Высокий</x:v>
      </x:c>
      <x:c r="C25" s="68" t="str">
        <x:v>Вилла, страховки и логистика не уменьшаются при меньшей группе</x:v>
      </x:c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 ht="15.75" customHeight="1">
      <x:c r="A26" s="68" t="str">
        <x:v>Кассовый разрыв</x:v>
      </x:c>
      <x:c r="B26" s="68" t="str">
        <x:f>IF(B14&lt;0,"Высокий","Под контролем")</x:f>
        <x:v>Под контролем</x:v>
      </x:c>
      <x:c r="C26" s="68" t="str">
        <x:v>Следить за сроками оплат и остатками участниц</x:v>
      </x:c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 ht="15.75" customHeight="1">
      <x:c r="A27" s="68" t="str">
        <x:v>Недобрать 13 участниц</x:v>
      </x:c>
      <x:c r="B27" s="68" t="str">
        <x:f>IF(B4&gt;0,"Есть риск","Цель достигнута")</x:f>
        <x:v>Есть риск</x:v>
      </x:c>
      <x:c r="C27" s="68" t="str">
        <x:v>Каждая новая участница сильно улучшает прибыль</x:v>
      </x:c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 ht="15.75" customHeight="1">
      <x:c r="A28" s="68" t="str">
        <x:v>Перерасход на питание/логистику</x:v>
      </x:c>
      <x:c r="B28" s="68" t="str">
        <x:f>IF(SUM(Expenses!$E$2:$E$101)&gt;SUM(Expenses!$D$2:$D$101),"Высокий","Под контролем")</x:f>
        <x:v>Под контролем</x:v>
      </x:c>
      <x:c r="C28" s="68" t="str">
        <x:v>Не забывать обновлять фактические оплаты</x:v>
      </x:c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 ht="15.75" customHeight="1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 ht="15.75" customHeight="1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 ht="15.75" customHeight="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 ht="15.75" customHeight="1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 ht="15.75" customHeight="1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 ht="15.75" customHeight="1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 ht="15.75" customHeight="1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 ht="15.75" customHeight="1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 ht="15.75" customHeight="1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 ht="15.75" customHeight="1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 ht="15.75" customHeight="1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 ht="15.75" customHeight="1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 ht="15.75" customHeight="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 ht="15.75" customHeight="1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 ht="15.75" customHeight="1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 ht="15.75" customHeight="1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 ht="15.75" customHeight="1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 ht="15.75" customHeight="1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 ht="15.75" customHeight="1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 ht="15.75" customHeight="1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 ht="15.75" customHeight="1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 ht="15.75" customHeight="1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 ht="15.75" customHeight="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 ht="15.75" customHeight="1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 ht="15.75" customHeight="1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 ht="15.75" customHeight="1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 ht="15.75" customHeight="1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 ht="15.75" customHeight="1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 ht="15.75" customHeight="1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 ht="15.75" customHeight="1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 ht="15.75" customHeight="1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 ht="15.75" customHeight="1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 ht="15.75" customHeight="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 ht="15.75" customHeight="1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 ht="15.75" customHeight="1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 ht="15.75" customHeight="1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 ht="15.75" customHeight="1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 ht="15.75" customHeight="1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 ht="15.75" customHeight="1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 ht="15.75" customHeight="1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 ht="15.75" customHeight="1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 ht="15.75" customHeight="1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 ht="15.75" customHeight="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 ht="15.75" customHeight="1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 ht="15.75" customHeight="1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 ht="15.75" customHeight="1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 ht="15.75" customHeight="1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 ht="15.75" customHeight="1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 ht="15.75" customHeight="1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 ht="15.75" customHeight="1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 ht="15.75" customHeight="1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 ht="15.75" customHeight="1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 ht="15.75" customHeight="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 ht="15.75" customHeight="1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 ht="15.75" customHeight="1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 ht="15.75" customHeight="1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 ht="15.75" customHeight="1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 ht="15.75" customHeight="1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 ht="15.75" customHeight="1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 ht="15.75" customHeight="1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 ht="15.75" customHeight="1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 ht="15.75" customHeight="1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 ht="15.75" customHeight="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 ht="15.75" customHeight="1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 ht="15.75" customHeight="1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 ht="15.75" customHeight="1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 ht="15.75" customHeight="1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 ht="15.75" customHeight="1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 ht="15.75" customHeight="1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 ht="15.75" customHeight="1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 ht="15.75" customHeight="1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 ht="15.75" customHeight="1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 ht="15.75" customHeight="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 ht="15.75" customHeight="1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 ht="15.75" customHeight="1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 ht="15.75" customHeight="1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 ht="15.75" customHeight="1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 ht="15.75" customHeight="1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 ht="15.75" customHeight="1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 ht="15.75" customHeight="1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 ht="15.75" customHeight="1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 ht="15.75" customHeight="1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 ht="15.75" customHeight="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 ht="15.75" customHeight="1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 ht="15.75" customHeight="1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 ht="15.75" customHeight="1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 ht="15.75" customHeight="1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 ht="15.75" customHeight="1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 ht="15.75" customHeight="1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 ht="15.75" customHeight="1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 ht="15.75" customHeight="1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 ht="15.75" customHeight="1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 ht="15.75" customHeight="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 ht="15.75" customHeight="1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 ht="15.75" customHeight="1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 ht="15.75" customHeight="1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 ht="15.75" customHeight="1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 ht="15.75" customHeight="1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 ht="15.75" customHeight="1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 ht="15.75" customHeight="1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 ht="15.75" customHeight="1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 ht="15.75" customHeight="1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 ht="15.75" customHeight="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 ht="15.75" customHeight="1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 ht="15.75" customHeight="1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 ht="15.75" customHeight="1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 ht="15.75" customHeight="1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 ht="15.75" customHeight="1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 ht="15.75" customHeight="1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 ht="15.75" customHeight="1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 ht="15.75" customHeight="1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 ht="15.75" customHeight="1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 ht="15.75" customHeight="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 ht="15.75" customHeight="1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 ht="15.75" customHeight="1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 ht="15.75" customHeight="1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 ht="15.75" customHeight="1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 ht="15.75" customHeight="1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 ht="15.75" customHeight="1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 ht="15.75" customHeight="1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 ht="15.75" customHeight="1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 ht="15.75" customHeight="1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 ht="15.75" customHeight="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 ht="15.75" customHeight="1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 ht="15.75" customHeight="1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 ht="15.75" customHeight="1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 ht="15.75" customHeight="1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 ht="15.75" customHeight="1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 ht="15.75" customHeight="1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 ht="15.75" customHeight="1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 ht="15.75" customHeight="1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 ht="15.75" customHeight="1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 ht="15.75" customHeight="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 ht="15.75" customHeight="1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 ht="15.75" customHeight="1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 ht="15.75" customHeight="1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 ht="15.75" customHeight="1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 ht="15.75" customHeight="1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 ht="15.75" customHeight="1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 ht="15.75" customHeight="1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 ht="15.75" customHeight="1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 ht="15.75" customHeight="1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 ht="15.75" customHeight="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 ht="15.75" customHeight="1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 ht="15.75" customHeight="1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 ht="15.75" customHeight="1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 ht="15.75" customHeight="1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 ht="15.75" customHeight="1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 ht="15.75" customHeight="1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 ht="15.75" customHeight="1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 ht="15.75" customHeight="1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 ht="15.75" customHeight="1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 ht="15.75" customHeight="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 ht="15.75" customHeight="1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 ht="15.75" customHeight="1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 ht="15.75" customHeight="1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 ht="15.75" customHeight="1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 ht="15.75" customHeight="1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 ht="15.75" customHeight="1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 ht="15.75" customHeight="1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 ht="15.75" customHeight="1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 ht="15.75" customHeight="1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 ht="15.75" customHeight="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 ht="15.75" customHeight="1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 ht="15.75" customHeight="1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 ht="15.75" customHeight="1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 ht="15.75" customHeight="1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 ht="15.75" customHeight="1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 ht="15.75" customHeight="1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 ht="15.75" customHeight="1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 ht="15.75" customHeight="1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 ht="15.75" customHeight="1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  <x:row r="201" ht="15.75" customHeight="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 ht="15.75" customHeight="1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 ht="15.75" customHeight="1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 ht="15.75" customHeight="1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 ht="15.75" customHeight="1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 ht="15.75" customHeight="1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 ht="15.75" customHeight="1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 ht="15.75" customHeight="1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 ht="15.75" customHeight="1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 ht="15.75" customHeight="1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 ht="15.75" customHeight="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 ht="15.75" customHeight="1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 ht="15.75" customHeight="1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 ht="15.75" customHeight="1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 ht="15.75" customHeight="1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 ht="15.75" customHeight="1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 ht="15.75" customHeight="1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 ht="15.75" customHeight="1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 ht="15.75" customHeight="1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 ht="15.75" customHeight="1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 ht="15.75" customHeight="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 ht="15.75" customHeight="1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 ht="15.75" customHeight="1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 ht="15.75" customHeight="1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 ht="15.75" customHeight="1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 ht="15.75" customHeight="1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 ht="15.75" customHeight="1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 ht="15.75" customHeight="1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 ht="15.75" customHeight="1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 ht="15.75" customHeight="1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 ht="15.75" customHeight="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 ht="15.75" customHeight="1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 ht="15.75" customHeight="1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 ht="15.75" customHeight="1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 ht="15.75" customHeight="1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 ht="15.75" customHeight="1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 ht="15.75" customHeight="1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 ht="15.75" customHeight="1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 ht="15.75" customHeight="1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 ht="15.75" customHeight="1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 ht="15.75" customHeight="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 ht="15.75" customHeight="1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 ht="15.75" customHeight="1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 ht="15.75" customHeight="1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 ht="15.75" customHeight="1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 ht="15.75" customHeight="1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 ht="15.75" customHeight="1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 ht="15.75" customHeight="1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 ht="15.75" customHeight="1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 ht="15.75" customHeight="1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 ht="15.75" customHeight="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 ht="15.75" customHeight="1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 ht="15.75" customHeight="1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 ht="15.75" customHeight="1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 ht="15.75" customHeight="1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 ht="15.75" customHeight="1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 ht="15.75" customHeight="1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 ht="15.75" customHeight="1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 ht="15.75" customHeight="1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 ht="15.75" customHeight="1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 ht="15.75" customHeight="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 ht="15.75" customHeight="1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 ht="15.75" customHeight="1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 ht="15.75" customHeight="1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 ht="15.75" customHeight="1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 ht="15.75" customHeight="1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 ht="15.75" customHeight="1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 ht="15.75" customHeight="1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 ht="15.75" customHeight="1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 ht="15.75" customHeight="1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 ht="15.75" customHeight="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 ht="15.75" customHeight="1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 ht="15.75" customHeight="1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 ht="15.75" customHeight="1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 ht="15.75" customHeight="1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 ht="15.75" customHeight="1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 ht="15.75" customHeight="1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 ht="15.75" customHeight="1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 ht="15.75" customHeight="1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 ht="15.75" customHeight="1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 ht="15.75" customHeight="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 ht="15.75" customHeight="1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 ht="15.75" customHeight="1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 ht="15.75" customHeight="1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 ht="15.75" customHeight="1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 ht="15.75" customHeight="1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 ht="15.75" customHeight="1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 ht="15.75" customHeight="1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 ht="15.75" customHeight="1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 ht="15.75" customHeight="1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 ht="15.75" customHeight="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 ht="15.75" customHeight="1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 ht="15.75" customHeight="1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 ht="15.75" customHeight="1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 ht="15.75" customHeight="1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 ht="15.75" customHeight="1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 ht="15.75" customHeight="1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 ht="15.75" customHeight="1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 ht="15.75" customHeight="1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 ht="15.75" customHeight="1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</x:mergeCells>
  <x:conditionalFormatting sqref="B10:B10">
    <x:cfRule type="expression" dxfId="0" priority="1">
      <x:formula>B10&lt;0</x:formula>
    </x:cfRule>
  </x:conditionalFormatting>
  <x:conditionalFormatting sqref="B10:B10">
    <x:cfRule type="expression" dxfId="1" priority="2">
      <x:formula>B10&gt;=0</x:formula>
    </x:cfRule>
  </x:conditionalFormatting>
  <x:conditionalFormatting sqref="H4:H6">
    <x:cfRule type="expression" dxfId="0" priority="3">
      <x:formula>H4&lt;0</x:formula>
    </x:cfRule>
  </x:conditionalFormatting>
  <x:conditionalFormatting sqref="H4:H6">
    <x:cfRule type="expression" dxfId="1" priority="4">
      <x:formula>H4&gt;=0</x:formula>
    </x:cfRule>
  </x:conditionalFormatting>
  <x:conditionalFormatting sqref="B15:B16">
    <x:cfRule type="expression" dxfId="9" priority="5">
      <x:formula>B15&lt;0</x:formula>
    </x:cfRule>
    <x:cfRule type="expression" dxfId="10" priority="6">
      <x:formula>B15&gt;=0</x:formula>
    </x:cfRule>
  </x:conditionalFormatting>
  <x:conditionalFormatting sqref="B5:B5">
    <x:cfRule type="dataBar" priority="7">
      <x:dataBar>
        <x:cfvo type="min"/>
        <x:cfvo type="max"/>
        <x:color rgb="FFC8A24A"/>
      </x:dataBar>
      <x:extLst>
        <x:ext xmlns:x14="http://schemas.microsoft.com/office/spreadsheetml/2009/9/main" uri="{B025F937-C7B1-47D3-B67F-A62EFF666E3E}">
          <x14:id>{DB091E20-19F2-B742-A9FC-8B049DFBD9A0}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7017a90e99b41f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DB091E20-19F2-B742-A9FC-8B049DFBD9A0}">
            <x14:dataBar gradient="1">
              <x14:cfvo type="min"/>
              <x14:cfvo type="max"/>
              <x14:fillColor rgb="FFC8A24A"/>
            </x14:dataBar>
          </x14:cfRule>
          <xm:sqref>B5:B5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31" hidden="0" customWidth="1"/>
    <x:col min="2" max="2" width="20" hidden="0" customWidth="1"/>
    <x:col min="3" max="26" width="8.630000114440918" customWidth="1"/>
    <x:col min="3" max="3" width="12" hidden="0" customWidth="1"/>
    <x:col min="4" max="4" width="48" hidden="0" customWidth="1"/>
  </x:cols>
  <x:sheetData>
    <x:row r="1" ht="28" customHeight="1">
      <x:c r="A1" s="101" t="str">
        <x:v>NA TALIYA CLUB — Retreat Master Inputs</x:v>
      </x:c>
      <x:c r="B1" s="67"/>
      <x:c r="C1" s="67"/>
      <x:c r="D1" s="67"/>
      <x:c r="E1" s="67"/>
      <x:c r="F1" s="67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66" t="str">
        <x:v>Параметр</x:v>
      </x:c>
      <x:c r="B3" s="66" t="str">
        <x:v>Значение</x:v>
      </x:c>
      <x:c r="C3" s="66" t="str">
        <x:v>Ед.</x:v>
      </x:c>
      <x:c r="D3" s="66" t="str">
        <x:v>Комментарий</x:v>
      </x:c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8" t="str">
        <x:v>Название проекта</x:v>
      </x:c>
      <x:c r="B4" s="70" t="str">
        <x:v>Fitness &amp; Wellness Retreat Salou 2026</x:v>
      </x:c>
      <x:c r="C4" s="68" t="str"/>
      <x:c r="D4" s="68" t="str">
        <x:v>Можно заменить для будущего ретрита</x:v>
      </x:c>
      <x:c r="E4" s="68"/>
      <x:c r="F4" s="68"/>
      <x:c r="G4" s="68"/>
      <x:c r="H4" s="68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68" t="str">
        <x:v>Даты ретрита</x:v>
      </x:c>
      <x:c r="B5" s="70" t="str">
        <x:v>17–22.09.2026</x:v>
      </x:c>
      <x:c r="C5" s="68" t="str"/>
      <x:c r="D5" s="68" t="str"/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68" t="str">
        <x:v>Страна / город</x:v>
      </x:c>
      <x:c r="B6" s="70" t="str">
        <x:v>Spain / Salou</x:v>
      </x:c>
      <x:c r="C6" s="68" t="str"/>
      <x:c r="D6" s="68" t="str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68" t="str">
        <x:v>Цена тура на 1 участницу</x:v>
      </x:c>
      <x:c r="B7" s="78" t="n">
        <x:v>1190</x:v>
      </x:c>
      <x:c r="C7" s="68" t="str">
        <x:v>€</x:v>
      </x:c>
      <x:c r="D7" s="68" t="str">
        <x:v>Основная цена продажи</x:v>
      </x:c>
      <x:c r="E7" s="68"/>
      <x:c r="F7" s="68"/>
      <x:c r="G7" s="68"/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68" t="str">
        <x:v>Цель участниц</x:v>
      </x:c>
      <x:c r="B8" s="78" t="n">
        <x:v>13</x:v>
      </x:c>
      <x:c r="C8" s="68" t="str">
        <x:v>чел.</x:v>
      </x:c>
      <x:c r="D8" s="68" t="str">
        <x:v>Текущая бизнес-цель</x:v>
      </x:c>
      <x:c r="E8" s="68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68" t="str">
        <x:v>Максимум участниц</x:v>
      </x:c>
      <x:c r="B9" s="78" t="n">
        <x:v>15</x:v>
      </x:c>
      <x:c r="C9" s="68" t="str">
        <x:v>чел.</x:v>
      </x:c>
      <x:c r="D9" s="68" t="str">
        <x:v>Комфортная вместимость по продажам</x:v>
      </x:c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68" t="str">
        <x:v>Минимум для безубыточности</x:v>
      </x:c>
      <x:c r="B10" s="78" t="n">
        <x:f>ROUNDUP(Dashboard!B19,0)</x:f>
        <x:v>12</x:v>
      </x:c>
      <x:c r="C10" s="68" t="str">
        <x:v>чел.</x:v>
      </x:c>
      <x:c r="D10" s="68" t="str">
        <x:v>Считается автоматически</x:v>
      </x:c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68" t="str">
        <x:v>Команда без оплаты</x:v>
      </x:c>
      <x:c r="B11" s="78" t="n">
        <x:v>2</x:v>
      </x:c>
      <x:c r="C11" s="68" t="str">
        <x:v>чел.</x:v>
      </x:c>
      <x:c r="D11" s="68" t="str">
        <x:v>Наталия + сын</x:v>
      </x:c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68" t="str">
        <x:v>Размер депозита</x:v>
      </x:c>
      <x:c r="B12" s="78" t="n">
        <x:v>300</x:v>
      </x:c>
      <x:c r="C12" s="68" t="str">
        <x:v>€</x:v>
      </x:c>
      <x:c r="D12" s="68" t="str">
        <x:v>Минимальный платеж для брони</x:v>
      </x:c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68" t="str">
        <x:v>Кейтеринг фикс</x:v>
      </x:c>
      <x:c r="B13" s="78" t="n">
        <x:v>200</x:v>
      </x:c>
      <x:c r="C13" s="68" t="str">
        <x:v>€</x:v>
      </x:c>
      <x:c r="D13" s="68" t="str">
        <x:v>Фиксированная часть предложения</x:v>
      </x:c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68" t="str">
        <x:v>Кейтеринг на человека</x:v>
      </x:c>
      <x:c r="B14" s="78" t="n">
        <x:v>35</x:v>
      </x:c>
      <x:c r="C14" s="68" t="str">
        <x:v>€</x:v>
      </x:c>
      <x:c r="D14" s="68" t="str">
        <x:v>За 2 ланча / приема пищи</x:v>
      </x:c>
      <x:c r="E14" s="68"/>
      <x:c r="F14" s="68"/>
      <x:c r="G14" s="68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68" t="str">
        <x:v>Маркетинг бюджет</x:v>
      </x:c>
      <x:c r="B15" s="78" t="n">
        <x:v>0</x:v>
      </x:c>
      <x:c r="C15" s="68" t="str">
        <x:v>€</x:v>
      </x:c>
      <x:c r="D15" s="68" t="str">
        <x:v>Можно добавить рекламу Instagram</x:v>
      </x:c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68" t="str">
        <x:v>Курс Reels / обучение</x:v>
      </x:c>
      <x:c r="B16" s="79" t="n">
        <x:v>500</x:v>
      </x:c>
      <x:c r="C16" s="68" t="str">
        <x:v>€</x:v>
      </x:c>
      <x:c r="D16" s="68" t="str">
        <x:v>Планируемая инвестиция после прибыли</x:v>
      </x:c>
      <x:c r="E16" s="68"/>
      <x:c r="F16" s="68"/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68" t="str">
        <x:v>Цель фонда авто</x:v>
      </x:c>
      <x:c r="B17" s="79" t="n">
        <x:v>0</x:v>
      </x:c>
      <x:c r="C17" s="68" t="str">
        <x:v>€</x:v>
      </x:c>
      <x:c r="D17" s="68" t="str">
        <x:v>Заполняется по желанию</x:v>
      </x:c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68"/>
      <x:c r="B18" s="68"/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68"/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68"/>
      <x:c r="B20" s="68"/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 ht="15.75" customHeight="1">
      <x:c r="A21" s="68"/>
      <x:c r="B21" s="68"/>
      <x:c r="C21" s="68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 ht="15.75" customHeight="1">
      <x:c r="A22" s="68"/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 ht="15.75" customHeight="1">
      <x:c r="A23" s="68"/>
      <x:c r="B23" s="68"/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 ht="15.75" customHeight="1">
      <x:c r="A24" s="68"/>
      <x:c r="B24" s="68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 ht="15.75" customHeight="1">
      <x:c r="A25" s="68"/>
      <x:c r="B25" s="68"/>
      <x:c r="C25" s="68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 ht="15.75" customHeight="1">
      <x:c r="A26" s="68"/>
      <x:c r="B26" s="68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 ht="15.75" customHeight="1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 ht="15.75" customHeight="1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 ht="15.75" customHeight="1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 ht="15.75" customHeight="1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 ht="15.75" customHeight="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 ht="15.75" customHeight="1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 ht="15.75" customHeight="1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 ht="15.75" customHeight="1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 ht="15.75" customHeight="1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 ht="15.75" customHeight="1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 ht="15.75" customHeight="1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 ht="15.75" customHeight="1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 ht="15.75" customHeight="1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 ht="15.75" customHeight="1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 ht="15.75" customHeight="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 ht="15.75" customHeight="1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 ht="15.75" customHeight="1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 ht="15.75" customHeight="1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 ht="15.75" customHeight="1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 ht="15.75" customHeight="1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 ht="15.75" customHeight="1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 ht="15.75" customHeight="1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 ht="15.75" customHeight="1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 ht="15.75" customHeight="1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 ht="15.75" customHeight="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 ht="15.75" customHeight="1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 ht="15.75" customHeight="1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 ht="15.75" customHeight="1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 ht="15.75" customHeight="1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 ht="15.75" customHeight="1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 ht="15.75" customHeight="1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 ht="15.75" customHeight="1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 ht="15.75" customHeight="1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 ht="15.75" customHeight="1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 ht="15.75" customHeight="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 ht="15.75" customHeight="1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 ht="15.75" customHeight="1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 ht="15.75" customHeight="1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 ht="15.75" customHeight="1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 ht="15.75" customHeight="1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 ht="15.75" customHeight="1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 ht="15.75" customHeight="1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 ht="15.75" customHeight="1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 ht="15.75" customHeight="1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 ht="15.75" customHeight="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 ht="15.75" customHeight="1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 ht="15.75" customHeight="1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 ht="15.75" customHeight="1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 ht="15.75" customHeight="1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 ht="15.75" customHeight="1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 ht="15.75" customHeight="1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 ht="15.75" customHeight="1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 ht="15.75" customHeight="1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 ht="15.75" customHeight="1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 ht="15.75" customHeight="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 ht="15.75" customHeight="1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 ht="15.75" customHeight="1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 ht="15.75" customHeight="1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 ht="15.75" customHeight="1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 ht="15.75" customHeight="1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 ht="15.75" customHeight="1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 ht="15.75" customHeight="1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 ht="15.75" customHeight="1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 ht="15.75" customHeight="1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 ht="15.75" customHeight="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 ht="15.75" customHeight="1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 ht="15.75" customHeight="1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 ht="15.75" customHeight="1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 ht="15.75" customHeight="1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 ht="15.75" customHeight="1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 ht="15.75" customHeight="1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 ht="15.75" customHeight="1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 ht="15.75" customHeight="1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 ht="15.75" customHeight="1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 ht="15.75" customHeight="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 ht="15.75" customHeight="1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 ht="15.75" customHeight="1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 ht="15.75" customHeight="1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 ht="15.75" customHeight="1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 ht="15.75" customHeight="1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 ht="15.75" customHeight="1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 ht="15.75" customHeight="1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 ht="15.75" customHeight="1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 ht="15.75" customHeight="1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 ht="15.75" customHeight="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 ht="15.75" customHeight="1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 ht="15.75" customHeight="1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 ht="15.75" customHeight="1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 ht="15.75" customHeight="1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 ht="15.75" customHeight="1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 ht="15.75" customHeight="1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 ht="15.75" customHeight="1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 ht="15.75" customHeight="1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 ht="15.75" customHeight="1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 ht="15.75" customHeight="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 ht="15.75" customHeight="1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 ht="15.75" customHeight="1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 ht="15.75" customHeight="1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 ht="15.75" customHeight="1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 ht="15.75" customHeight="1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 ht="15.75" customHeight="1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 ht="15.75" customHeight="1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 ht="15.75" customHeight="1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 ht="15.75" customHeight="1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 ht="15.75" customHeight="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 ht="15.75" customHeight="1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 ht="15.75" customHeight="1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 ht="15.75" customHeight="1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 ht="15.75" customHeight="1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 ht="15.75" customHeight="1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 ht="15.75" customHeight="1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 ht="15.75" customHeight="1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 ht="15.75" customHeight="1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 ht="15.75" customHeight="1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 ht="15.75" customHeight="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 ht="15.75" customHeight="1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 ht="15.75" customHeight="1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 ht="15.75" customHeight="1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 ht="15.75" customHeight="1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 ht="15.75" customHeight="1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 ht="15.75" customHeight="1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 ht="15.75" customHeight="1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 ht="15.75" customHeight="1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 ht="15.75" customHeight="1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 ht="15.75" customHeight="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 ht="15.75" customHeight="1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 ht="15.75" customHeight="1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 ht="15.75" customHeight="1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 ht="15.75" customHeight="1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 ht="15.75" customHeight="1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 ht="15.75" customHeight="1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 ht="15.75" customHeight="1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 ht="15.75" customHeight="1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 ht="15.75" customHeight="1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 ht="15.75" customHeight="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 ht="15.75" customHeight="1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 ht="15.75" customHeight="1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 ht="15.75" customHeight="1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 ht="15.75" customHeight="1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 ht="15.75" customHeight="1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 ht="15.75" customHeight="1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 ht="15.75" customHeight="1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 ht="15.75" customHeight="1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 ht="15.75" customHeight="1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 ht="15.75" customHeight="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 ht="15.75" customHeight="1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 ht="15.75" customHeight="1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 ht="15.75" customHeight="1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 ht="15.75" customHeight="1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 ht="15.75" customHeight="1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 ht="15.75" customHeight="1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 ht="15.75" customHeight="1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 ht="15.75" customHeight="1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 ht="15.75" customHeight="1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 ht="15.75" customHeight="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 ht="15.75" customHeight="1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 ht="15.75" customHeight="1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 ht="15.75" customHeight="1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 ht="15.75" customHeight="1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 ht="15.75" customHeight="1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 ht="15.75" customHeight="1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 ht="15.75" customHeight="1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 ht="15.75" customHeight="1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 ht="15.75" customHeight="1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 ht="15.75" customHeight="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 ht="15.75" customHeight="1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 ht="15.75" customHeight="1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 ht="15.75" customHeight="1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 ht="15.75" customHeight="1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 ht="15.75" customHeight="1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 ht="15.75" customHeight="1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 ht="15.75" customHeight="1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 ht="15.75" customHeight="1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 ht="15.75" customHeight="1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  <x:row r="201" ht="15.75" customHeight="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 ht="15.75" customHeight="1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 ht="15.75" customHeight="1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 ht="15.75" customHeight="1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 ht="15.75" customHeight="1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 ht="15.75" customHeight="1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 ht="15.75" customHeight="1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 ht="15.75" customHeight="1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 ht="15.75" customHeight="1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 ht="15.75" customHeight="1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 ht="15.75" customHeight="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 ht="15.75" customHeight="1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 ht="15.75" customHeight="1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 ht="15.75" customHeight="1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 ht="15.75" customHeight="1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 ht="15.75" customHeight="1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 ht="15.75" customHeight="1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 ht="15.75" customHeight="1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 ht="15.75" customHeight="1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 ht="15.75" customHeight="1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 ht="15.75" customHeight="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 ht="15.75" customHeight="1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 ht="15.75" customHeight="1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 ht="15.75" customHeight="1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 ht="15.75" customHeight="1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 ht="15.75" customHeight="1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 ht="15.75" customHeight="1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 ht="15.75" customHeight="1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 ht="15.75" customHeight="1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 ht="15.75" customHeight="1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 ht="15.75" customHeight="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 ht="15.75" customHeight="1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 ht="15.75" customHeight="1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 ht="15.75" customHeight="1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 ht="15.75" customHeight="1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 ht="15.75" customHeight="1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 ht="15.75" customHeight="1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 ht="15.75" customHeight="1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 ht="15.75" customHeight="1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 ht="15.75" customHeight="1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 ht="15.75" customHeight="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 ht="15.75" customHeight="1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 ht="15.75" customHeight="1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 ht="15.75" customHeight="1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 ht="15.75" customHeight="1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 ht="15.75" customHeight="1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 ht="15.75" customHeight="1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 ht="15.75" customHeight="1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 ht="15.75" customHeight="1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 ht="15.75" customHeight="1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 ht="15.75" customHeight="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 ht="15.75" customHeight="1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 ht="15.75" customHeight="1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 ht="15.75" customHeight="1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 ht="15.75" customHeight="1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 ht="15.75" customHeight="1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 ht="15.75" customHeight="1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 ht="15.75" customHeight="1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 ht="15.75" customHeight="1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 ht="15.75" customHeight="1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 ht="15.75" customHeight="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 ht="15.75" customHeight="1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 ht="15.75" customHeight="1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 ht="15.75" customHeight="1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 ht="15.75" customHeight="1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 ht="15.75" customHeight="1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 ht="15.75" customHeight="1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 ht="15.75" customHeight="1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 ht="15.75" customHeight="1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 ht="15.75" customHeight="1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 ht="15.75" customHeight="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 ht="15.75" customHeight="1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 ht="15.75" customHeight="1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 ht="15.75" customHeight="1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 ht="15.75" customHeight="1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 ht="15.75" customHeight="1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 ht="15.75" customHeight="1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 ht="15.75" customHeight="1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 ht="15.75" customHeight="1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 ht="15.75" customHeight="1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 ht="15.75" customHeight="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 ht="15.75" customHeight="1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 ht="15.75" customHeight="1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 ht="15.75" customHeight="1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 ht="15.75" customHeight="1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 ht="15.75" customHeight="1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 ht="15.75" customHeight="1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 ht="15.75" customHeight="1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 ht="15.75" customHeight="1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 ht="15.75" customHeight="1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 ht="15.75" customHeight="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 ht="15.75" customHeight="1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 ht="15.75" customHeight="1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 ht="15.75" customHeight="1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 ht="15.75" customHeight="1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 ht="15.75" customHeight="1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 ht="15.75" customHeight="1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 ht="15.75" customHeight="1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 ht="15.75" customHeight="1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 ht="15.75" customHeight="1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24" hidden="0" customWidth="1"/>
    <x:col min="3" max="3" width="18" hidden="0" customWidth="1"/>
    <x:col min="4" max="6" width="8.630000114440918" customWidth="1"/>
    <x:col min="7" max="7" width="34" hidden="0" customWidth="1"/>
    <x:col min="8" max="26" width="8.630000114440918" customWidth="1"/>
    <x:col min="4" max="4" width="18" hidden="0" customWidth="1"/>
    <x:col min="5" max="5" width="18" hidden="0" customWidth="1"/>
    <x:col min="6" max="6" width="18" hidden="0" customWidth="1"/>
    <x:col min="8" max="8" width="18" hidden="0" customWidth="1"/>
  </x:cols>
  <x:sheetData>
    <x:row r="1">
      <x:c r="A1" s="66" t="str">
        <x:v>Дата</x:v>
      </x:c>
      <x:c r="B1" s="66" t="str">
        <x:v>Участница</x:v>
      </x:c>
      <x:c r="C1" s="66" t="str">
        <x:v>Тип платежа</x:v>
      </x:c>
      <x:c r="D1" s="66" t="str">
        <x:v>Сумма (€)</x:v>
      </x:c>
      <x:c r="E1" s="66" t="str">
        <x:v>Статус</x:v>
      </x:c>
      <x:c r="F1" s="66" t="str">
        <x:v>Способ оплаты</x:v>
      </x:c>
      <x:c r="G1" s="66" t="str">
        <x:v>Комментарий</x:v>
      </x:c>
      <x:c r="H1" s="66" t="str">
        <x:v>Месяц</x:v>
      </x:c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81" t="n">
        <x:v>46181</x:v>
      </x:c>
      <x:c r="B2" s="68" t="str">
        <x:v>Юлия Шапиро</x:v>
      </x:c>
      <x:c r="C2" s="68" t="str">
        <x:v>Оплата</x:v>
      </x:c>
      <x:c r="D2" s="72" t="n">
        <x:v>1190</x:v>
      </x:c>
      <x:c r="E2" s="68" t="str">
        <x:v>Оплачен полностью</x:v>
      </x:c>
      <x:c r="F2" s="68" t="str">
        <x:v>нал</x:v>
      </x:c>
      <x:c r="G2" s="68" t="str"/>
      <x:c r="H2" s="68" t="str">
        <x:f>IF(A2="","",TEXT(A2,"yyyy-mm"))</x:f>
        <x:v>2026-06</x:v>
      </x:c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81" t="n">
        <x:v>46181</x:v>
      </x:c>
      <x:c r="B3" s="68" t="str">
        <x:v>Ирина</x:v>
      </x:c>
      <x:c r="C3" s="68" t="str">
        <x:v>Оплата</x:v>
      </x:c>
      <x:c r="D3" s="72" t="n">
        <x:v>1190</x:v>
      </x:c>
      <x:c r="E3" s="68" t="str">
        <x:v>Оплачен полностью</x:v>
      </x:c>
      <x:c r="F3" s="68" t="str">
        <x:v>нал</x:v>
      </x:c>
      <x:c r="G3" s="68" t="str"/>
      <x:c r="H3" s="68" t="str">
        <x:f>IF(A3="","",TEXT(A3,"yyyy-mm"))</x:f>
        <x:v>2026-06</x:v>
      </x:c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81" t="n">
        <x:v>46182</x:v>
      </x:c>
      <x:c r="B4" s="68" t="str">
        <x:v>Лариса</x:v>
      </x:c>
      <x:c r="C4" s="68" t="str">
        <x:v>Оплата</x:v>
      </x:c>
      <x:c r="D4" s="72" t="n">
        <x:v>1190</x:v>
      </x:c>
      <x:c r="E4" s="68" t="str">
        <x:v>Оплачен полностью</x:v>
      </x:c>
      <x:c r="F4" s="68" t="str">
        <x:v>счет+paypal</x:v>
      </x:c>
      <x:c r="G4" s="68" t="str"/>
      <x:c r="H4" s="68" t="str">
        <x:f>IF(A4="","",TEXT(A4,"yyyy-mm"))</x:f>
        <x:v>2026-06</x:v>
      </x:c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81" t="n">
        <x:v>46186</x:v>
      </x:c>
      <x:c r="B5" s="68" t="str">
        <x:v>Ольга Поздеева</x:v>
      </x:c>
      <x:c r="C5" s="68" t="str">
        <x:v>Частичная оплата</x:v>
      </x:c>
      <x:c r="D5" s="72" t="n">
        <x:v>500</x:v>
      </x:c>
      <x:c r="E5" s="68" t="str">
        <x:v>Частично</x:v>
      </x:c>
      <x:c r="F5" s="68" t="str">
        <x:v>нал</x:v>
      </x:c>
      <x:c r="G5" s="68" t="str"/>
      <x:c r="H5" s="68" t="str">
        <x:f>IF(A5="","",TEXT(A5,"yyyy-mm"))</x:f>
        <x:v>2026-06</x:v>
      </x:c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81" t="n">
        <x:v>46187</x:v>
      </x:c>
      <x:c r="B6" s="68" t="str">
        <x:v>Татьяна Бигун</x:v>
      </x:c>
      <x:c r="C6" s="68" t="str">
        <x:v>Депозит</x:v>
      </x:c>
      <x:c r="D6" s="72" t="n">
        <x:v>300</x:v>
      </x:c>
      <x:c r="E6" s="68" t="str">
        <x:v>Депозит</x:v>
      </x:c>
      <x:c r="F6" s="68" t="str">
        <x:v>счет</x:v>
      </x:c>
      <x:c r="G6" s="68" t="str"/>
      <x:c r="H6" s="68" t="str">
        <x:f>IF(A6="","",TEXT(A6,"yyyy-mm"))</x:f>
        <x:v>2026-06</x:v>
      </x:c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81" t="n">
        <x:v>46187</x:v>
      </x:c>
      <x:c r="B7" s="68" t="str">
        <x:v>Ольга Чупруна</x:v>
      </x:c>
      <x:c r="C7" s="68" t="str">
        <x:v>Оплата</x:v>
      </x:c>
      <x:c r="D7" s="72" t="n">
        <x:v>1190</x:v>
      </x:c>
      <x:c r="E7" s="68" t="str">
        <x:v>Оплачен полностью</x:v>
      </x:c>
      <x:c r="F7" s="68" t="str">
        <x:v>счет</x:v>
      </x:c>
      <x:c r="G7" s="68" t="str"/>
      <x:c r="H7" s="68" t="str">
        <x:f>IF(A7="","",TEXT(A7,"yyyy-mm"))</x:f>
        <x:v>2026-06</x:v>
      </x:c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81" t="n">
        <x:v>46192</x:v>
      </x:c>
      <x:c r="B8" s="68" t="str">
        <x:v>Екатерина Сиеринг</x:v>
      </x:c>
      <x:c r="C8" s="68" t="str">
        <x:v>Депозит</x:v>
      </x:c>
      <x:c r="D8" s="72" t="n">
        <x:v>300</x:v>
      </x:c>
      <x:c r="E8" s="68" t="str">
        <x:v>Депозит</x:v>
      </x:c>
      <x:c r="F8" s="68" t="str">
        <x:v>счет</x:v>
      </x:c>
      <x:c r="G8" s="68" t="str"/>
      <x:c r="H8" s="68" t="str">
        <x:f>IF(A8="","",TEXT(A8,"yyyy-mm"))</x:f>
        <x:v>2026-06</x:v>
      </x:c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81" t="n">
        <x:v>46193</x:v>
      </x:c>
      <x:c r="B9" s="68" t="str">
        <x:v>Spivak Alina</x:v>
      </x:c>
      <x:c r="C9" s="68" t="str">
        <x:v>Частичная оплата</x:v>
      </x:c>
      <x:c r="D9" s="72" t="n">
        <x:v>500</x:v>
      </x:c>
      <x:c r="E9" s="68" t="str">
        <x:v>Частично</x:v>
      </x:c>
      <x:c r="F9" s="68" t="str">
        <x:v>нал</x:v>
      </x:c>
      <x:c r="G9" s="68" t="str"/>
      <x:c r="H9" s="68" t="str">
        <x:f>IF(A9="","",TEXT(A9,"yyyy-mm"))</x:f>
        <x:v>2026-06</x:v>
      </x:c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81" t="n">
        <x:v>46194</x:v>
      </x:c>
      <x:c r="B10" s="68" t="str">
        <x:v>Anna мюнхен</x:v>
      </x:c>
      <x:c r="C10" s="68" t="str">
        <x:v>Депозит</x:v>
      </x:c>
      <x:c r="D10" s="72" t="n">
        <x:v>300</x:v>
      </x:c>
      <x:c r="E10" s="68" t="str">
        <x:v>Депозит</x:v>
      </x:c>
      <x:c r="F10" s="68" t="str">
        <x:v>paypal</x:v>
      </x:c>
      <x:c r="G10" s="68" t="str"/>
      <x:c r="H10" s="68" t="str">
        <x:f>IF(A10="","",TEXT(A10,"yyyy-mm"))</x:f>
        <x:v>2026-06</x:v>
      </x:c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81" t="n">
        <x:v>46203</x:v>
      </x:c>
      <x:c r="B11" s="68" t="str">
        <x:v>Настя нов</x:v>
      </x:c>
      <x:c r="C11" s="68" t="str">
        <x:v>Депозит</x:v>
      </x:c>
      <x:c r="D11" s="72" t="n">
        <x:v>300</x:v>
      </x:c>
      <x:c r="E11" s="68" t="str">
        <x:v>Депозит</x:v>
      </x:c>
      <x:c r="F11" s="68" t="str">
        <x:v>нал</x:v>
      </x:c>
      <x:c r="G11" s="68" t="str"/>
      <x:c r="H11" s="68" t="str">
        <x:f>IF(A11="","",TEXT(A11,"yyyy-mm"))</x:f>
        <x:v>2026-06</x:v>
      </x:c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81"/>
      <x:c r="B12" s="68"/>
      <x:c r="C12" s="68"/>
      <x:c r="D12" s="72"/>
      <x:c r="E12" s="68"/>
      <x:c r="F12" s="68"/>
      <x:c r="G12" s="68"/>
      <x:c r="H12" s="68" t="str">
        <x:f>IF(A12="","",TEXT(A12,"yyyy-mm"))</x:f>
      </x:c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81"/>
      <x:c r="B13" s="68"/>
      <x:c r="C13" s="68"/>
      <x:c r="D13" s="72"/>
      <x:c r="E13" s="68"/>
      <x:c r="F13" s="68"/>
      <x:c r="G13" s="68"/>
      <x:c r="H13" s="68" t="str">
        <x:f>IF(A13="","",TEXT(A13,"yyyy-mm"))</x:f>
      </x:c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81"/>
      <x:c r="B14" s="68"/>
      <x:c r="C14" s="68"/>
      <x:c r="D14" s="72"/>
      <x:c r="E14" s="68"/>
      <x:c r="F14" s="68"/>
      <x:c r="G14" s="68"/>
      <x:c r="H14" s="68" t="str">
        <x:f>IF(A14="","",TEXT(A14,"yyyy-mm"))</x:f>
      </x:c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81"/>
      <x:c r="B15" s="68"/>
      <x:c r="C15" s="68"/>
      <x:c r="D15" s="72"/>
      <x:c r="E15" s="68"/>
      <x:c r="F15" s="68"/>
      <x:c r="G15" s="68"/>
      <x:c r="H15" s="68" t="str">
        <x:f>IF(A15="","",TEXT(A15,"yyyy-mm"))</x:f>
      </x:c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81"/>
      <x:c r="B16" s="68"/>
      <x:c r="C16" s="68"/>
      <x:c r="D16" s="72"/>
      <x:c r="E16" s="68"/>
      <x:c r="F16" s="68"/>
      <x:c r="G16" s="68"/>
      <x:c r="H16" s="68" t="str">
        <x:f>IF(A16="","",TEXT(A16,"yyyy-mm"))</x:f>
      </x:c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81"/>
      <x:c r="B17" s="68"/>
      <x:c r="C17" s="68"/>
      <x:c r="D17" s="72"/>
      <x:c r="E17" s="68"/>
      <x:c r="F17" s="68"/>
      <x:c r="G17" s="68"/>
      <x:c r="H17" s="68" t="str">
        <x:f>IF(A17="","",TEXT(A17,"yyyy-mm"))</x:f>
      </x:c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81"/>
      <x:c r="B18" s="68"/>
      <x:c r="C18" s="68"/>
      <x:c r="D18" s="72"/>
      <x:c r="E18" s="68"/>
      <x:c r="F18" s="68"/>
      <x:c r="G18" s="68"/>
      <x:c r="H18" s="68" t="str">
        <x:f>IF(A18="","",TEXT(A18,"yyyy-mm"))</x:f>
      </x:c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81"/>
      <x:c r="B19" s="68"/>
      <x:c r="C19" s="68"/>
      <x:c r="D19" s="72"/>
      <x:c r="E19" s="68"/>
      <x:c r="F19" s="68"/>
      <x:c r="G19" s="68"/>
      <x:c r="H19" s="68" t="str">
        <x:f>IF(A19="","",TEXT(A19,"yyyy-mm"))</x:f>
      </x:c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81"/>
      <x:c r="B20" s="68"/>
      <x:c r="C20" s="68"/>
      <x:c r="D20" s="72"/>
      <x:c r="E20" s="68"/>
      <x:c r="F20" s="68"/>
      <x:c r="G20" s="68"/>
      <x:c r="H20" s="68" t="str">
        <x:f>IF(A20="","",TEXT(A20,"yyyy-mm"))</x:f>
      </x:c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 ht="15.75" customHeight="1">
      <x:c r="A21" s="81"/>
      <x:c r="B21" s="68"/>
      <x:c r="C21" s="68"/>
      <x:c r="D21" s="72"/>
      <x:c r="E21" s="68"/>
      <x:c r="F21" s="68"/>
      <x:c r="G21" s="68"/>
      <x:c r="H21" s="68" t="str">
        <x:f>IF(A21="","",TEXT(A21,"yyyy-mm"))</x:f>
      </x:c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 ht="15.75" customHeight="1">
      <x:c r="A22" s="81"/>
      <x:c r="B22" s="68"/>
      <x:c r="C22" s="68"/>
      <x:c r="D22" s="72"/>
      <x:c r="E22" s="68"/>
      <x:c r="F22" s="68"/>
      <x:c r="G22" s="68"/>
      <x:c r="H22" s="68" t="str">
        <x:f>IF(A22="","",TEXT(A22,"yyyy-mm"))</x:f>
      </x:c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 ht="15.75" customHeight="1">
      <x:c r="A23" s="81"/>
      <x:c r="B23" s="68"/>
      <x:c r="C23" s="68"/>
      <x:c r="D23" s="72"/>
      <x:c r="E23" s="68"/>
      <x:c r="F23" s="68"/>
      <x:c r="G23" s="68"/>
      <x:c r="H23" s="68" t="str">
        <x:f>IF(A23="","",TEXT(A23,"yyyy-mm"))</x:f>
      </x:c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 ht="15.75" customHeight="1">
      <x:c r="A24" s="81"/>
      <x:c r="B24" s="68"/>
      <x:c r="C24" s="68"/>
      <x:c r="D24" s="72"/>
      <x:c r="E24" s="68"/>
      <x:c r="F24" s="68"/>
      <x:c r="G24" s="68"/>
      <x:c r="H24" s="68" t="str">
        <x:f>IF(A24="","",TEXT(A24,"yyyy-mm"))</x:f>
      </x:c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 ht="15.75" customHeight="1">
      <x:c r="A25" s="81"/>
      <x:c r="B25" s="68"/>
      <x:c r="C25" s="68"/>
      <x:c r="D25" s="72"/>
      <x:c r="E25" s="68"/>
      <x:c r="F25" s="68"/>
      <x:c r="G25" s="68"/>
      <x:c r="H25" s="68" t="str">
        <x:f>IF(A25="","",TEXT(A25,"yyyy-mm"))</x:f>
      </x:c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 ht="15.75" customHeight="1">
      <x:c r="A26" s="81"/>
      <x:c r="B26" s="68"/>
      <x:c r="C26" s="68"/>
      <x:c r="D26" s="72"/>
      <x:c r="E26" s="68"/>
      <x:c r="F26" s="68"/>
      <x:c r="G26" s="68"/>
      <x:c r="H26" s="68" t="str">
        <x:f>IF(A26="","",TEXT(A26,"yyyy-mm"))</x:f>
      </x:c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 ht="15.75" customHeight="1">
      <x:c r="A27" s="81"/>
      <x:c r="B27" s="68"/>
      <x:c r="C27" s="68"/>
      <x:c r="D27" s="72"/>
      <x:c r="E27" s="68"/>
      <x:c r="F27" s="68"/>
      <x:c r="G27" s="68"/>
      <x:c r="H27" s="68" t="str">
        <x:f>IF(A27="","",TEXT(A27,"yyyy-mm"))</x:f>
      </x:c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 ht="15.75" customHeight="1">
      <x:c r="A28" s="81"/>
      <x:c r="B28" s="68"/>
      <x:c r="C28" s="68"/>
      <x:c r="D28" s="72"/>
      <x:c r="E28" s="68"/>
      <x:c r="F28" s="68"/>
      <x:c r="G28" s="68"/>
      <x:c r="H28" s="68" t="str">
        <x:f>IF(A28="","",TEXT(A28,"yyyy-mm"))</x:f>
      </x:c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 ht="15.75" customHeight="1">
      <x:c r="A29" s="81"/>
      <x:c r="B29" s="68"/>
      <x:c r="C29" s="68"/>
      <x:c r="D29" s="72"/>
      <x:c r="E29" s="68"/>
      <x:c r="F29" s="68"/>
      <x:c r="G29" s="68"/>
      <x:c r="H29" s="68" t="str">
        <x:f>IF(A29="","",TEXT(A29,"yyyy-mm"))</x:f>
      </x:c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 ht="15.75" customHeight="1">
      <x:c r="A30" s="81"/>
      <x:c r="B30" s="68"/>
      <x:c r="C30" s="68"/>
      <x:c r="D30" s="72"/>
      <x:c r="E30" s="68"/>
      <x:c r="F30" s="68"/>
      <x:c r="G30" s="68"/>
      <x:c r="H30" s="68" t="str">
        <x:f>IF(A30="","",TEXT(A30,"yyyy-mm"))</x:f>
      </x:c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 ht="15.75" customHeight="1">
      <x:c r="A31" s="81"/>
      <x:c r="B31" s="68"/>
      <x:c r="C31" s="68"/>
      <x:c r="D31" s="72"/>
      <x:c r="E31" s="68"/>
      <x:c r="F31" s="68"/>
      <x:c r="G31" s="68"/>
      <x:c r="H31" s="68" t="str">
        <x:f>IF(A31="","",TEXT(A31,"yyyy-mm"))</x:f>
      </x:c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 ht="15.75" customHeight="1">
      <x:c r="A32" s="81"/>
      <x:c r="B32" s="68"/>
      <x:c r="C32" s="68"/>
      <x:c r="D32" s="72"/>
      <x:c r="E32" s="68"/>
      <x:c r="F32" s="68"/>
      <x:c r="G32" s="68"/>
      <x:c r="H32" s="68" t="str">
        <x:f>IF(A32="","",TEXT(A32,"yyyy-mm"))</x:f>
      </x:c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 ht="15.75" customHeight="1">
      <x:c r="A33" s="81"/>
      <x:c r="B33" s="68"/>
      <x:c r="C33" s="68"/>
      <x:c r="D33" s="72"/>
      <x:c r="E33" s="68"/>
      <x:c r="F33" s="68"/>
      <x:c r="G33" s="68"/>
      <x:c r="H33" s="68" t="str">
        <x:f>IF(A33="","",TEXT(A33,"yyyy-mm"))</x:f>
      </x:c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 ht="15.75" customHeight="1">
      <x:c r="A34" s="81"/>
      <x:c r="B34" s="68"/>
      <x:c r="C34" s="68"/>
      <x:c r="D34" s="72"/>
      <x:c r="E34" s="68"/>
      <x:c r="F34" s="68"/>
      <x:c r="G34" s="68"/>
      <x:c r="H34" s="68" t="str">
        <x:f>IF(A34="","",TEXT(A34,"yyyy-mm"))</x:f>
      </x:c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 ht="15.75" customHeight="1">
      <x:c r="A35" s="81"/>
      <x:c r="B35" s="68"/>
      <x:c r="C35" s="68"/>
      <x:c r="D35" s="72"/>
      <x:c r="E35" s="68"/>
      <x:c r="F35" s="68"/>
      <x:c r="G35" s="68"/>
      <x:c r="H35" s="68" t="str">
        <x:f>IF(A35="","",TEXT(A35,"yyyy-mm"))</x:f>
      </x:c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 ht="15.75" customHeight="1">
      <x:c r="A36" s="81"/>
      <x:c r="B36" s="68"/>
      <x:c r="C36" s="68"/>
      <x:c r="D36" s="72"/>
      <x:c r="E36" s="68"/>
      <x:c r="F36" s="68"/>
      <x:c r="G36" s="68"/>
      <x:c r="H36" s="68" t="str">
        <x:f>IF(A36="","",TEXT(A36,"yyyy-mm"))</x:f>
      </x:c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 ht="15.75" customHeight="1">
      <x:c r="A37" s="81"/>
      <x:c r="B37" s="68"/>
      <x:c r="C37" s="68"/>
      <x:c r="D37" s="72"/>
      <x:c r="E37" s="68"/>
      <x:c r="F37" s="68"/>
      <x:c r="G37" s="68"/>
      <x:c r="H37" s="68" t="str">
        <x:f>IF(A37="","",TEXT(A37,"yyyy-mm"))</x:f>
      </x:c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 ht="15.75" customHeight="1">
      <x:c r="A38" s="81"/>
      <x:c r="B38" s="68"/>
      <x:c r="C38" s="68"/>
      <x:c r="D38" s="72"/>
      <x:c r="E38" s="68"/>
      <x:c r="F38" s="68"/>
      <x:c r="G38" s="68"/>
      <x:c r="H38" s="68" t="str">
        <x:f>IF(A38="","",TEXT(A38,"yyyy-mm"))</x:f>
      </x:c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 ht="15.75" customHeight="1">
      <x:c r="A39" s="81"/>
      <x:c r="B39" s="68"/>
      <x:c r="C39" s="68"/>
      <x:c r="D39" s="72"/>
      <x:c r="E39" s="68"/>
      <x:c r="F39" s="68"/>
      <x:c r="G39" s="68"/>
      <x:c r="H39" s="68" t="str">
        <x:f>IF(A39="","",TEXT(A39,"yyyy-mm"))</x:f>
      </x:c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 ht="15.75" customHeight="1">
      <x:c r="A40" s="81"/>
      <x:c r="B40" s="68"/>
      <x:c r="C40" s="68"/>
      <x:c r="D40" s="72"/>
      <x:c r="E40" s="68"/>
      <x:c r="F40" s="68"/>
      <x:c r="G40" s="68"/>
      <x:c r="H40" s="68" t="str">
        <x:f>IF(A40="","",TEXT(A40,"yyyy-mm"))</x:f>
      </x:c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 ht="15.75" customHeight="1">
      <x:c r="A41" s="81"/>
      <x:c r="B41" s="68"/>
      <x:c r="C41" s="68"/>
      <x:c r="D41" s="72"/>
      <x:c r="E41" s="68"/>
      <x:c r="F41" s="68"/>
      <x:c r="G41" s="68"/>
      <x:c r="H41" s="68" t="str">
        <x:f>IF(A41="","",TEXT(A41,"yyyy-mm"))</x:f>
      </x:c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 ht="15.75" customHeight="1">
      <x:c r="A42" s="81"/>
      <x:c r="B42" s="68"/>
      <x:c r="C42" s="68"/>
      <x:c r="D42" s="72"/>
      <x:c r="E42" s="68"/>
      <x:c r="F42" s="68"/>
      <x:c r="G42" s="68"/>
      <x:c r="H42" s="68" t="str">
        <x:f>IF(A42="","",TEXT(A42,"yyyy-mm"))</x:f>
      </x:c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 ht="15.75" customHeight="1">
      <x:c r="A43" s="81"/>
      <x:c r="B43" s="68"/>
      <x:c r="C43" s="68"/>
      <x:c r="D43" s="72"/>
      <x:c r="E43" s="68"/>
      <x:c r="F43" s="68"/>
      <x:c r="G43" s="68"/>
      <x:c r="H43" s="68" t="str">
        <x:f>IF(A43="","",TEXT(A43,"yyyy-mm"))</x:f>
      </x:c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 ht="15.75" customHeight="1">
      <x:c r="A44" s="81"/>
      <x:c r="B44" s="68"/>
      <x:c r="C44" s="68"/>
      <x:c r="D44" s="72"/>
      <x:c r="E44" s="68"/>
      <x:c r="F44" s="68"/>
      <x:c r="G44" s="68"/>
      <x:c r="H44" s="68" t="str">
        <x:f>IF(A44="","",TEXT(A44,"yyyy-mm"))</x:f>
      </x:c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 ht="15.75" customHeight="1">
      <x:c r="A45" s="81"/>
      <x:c r="B45" s="68"/>
      <x:c r="C45" s="68"/>
      <x:c r="D45" s="72"/>
      <x:c r="E45" s="68"/>
      <x:c r="F45" s="68"/>
      <x:c r="G45" s="68"/>
      <x:c r="H45" s="68" t="str">
        <x:f>IF(A45="","",TEXT(A45,"yyyy-mm"))</x:f>
      </x:c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 ht="15.75" customHeight="1">
      <x:c r="A46" s="81"/>
      <x:c r="B46" s="68"/>
      <x:c r="C46" s="68"/>
      <x:c r="D46" s="72"/>
      <x:c r="E46" s="68"/>
      <x:c r="F46" s="68"/>
      <x:c r="G46" s="68"/>
      <x:c r="H46" s="68" t="str">
        <x:f>IF(A46="","",TEXT(A46,"yyyy-mm"))</x:f>
      </x:c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 ht="15.75" customHeight="1">
      <x:c r="A47" s="81"/>
      <x:c r="B47" s="68"/>
      <x:c r="C47" s="68"/>
      <x:c r="D47" s="72"/>
      <x:c r="E47" s="68"/>
      <x:c r="F47" s="68"/>
      <x:c r="G47" s="68"/>
      <x:c r="H47" s="68" t="str">
        <x:f>IF(A47="","",TEXT(A47,"yyyy-mm"))</x:f>
      </x:c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 ht="15.75" customHeight="1">
      <x:c r="A48" s="81"/>
      <x:c r="B48" s="68"/>
      <x:c r="C48" s="68"/>
      <x:c r="D48" s="72"/>
      <x:c r="E48" s="68"/>
      <x:c r="F48" s="68"/>
      <x:c r="G48" s="68"/>
      <x:c r="H48" s="68" t="str">
        <x:f>IF(A48="","",TEXT(A48,"yyyy-mm"))</x:f>
      </x:c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 ht="15.75" customHeight="1">
      <x:c r="A49" s="81"/>
      <x:c r="B49" s="68"/>
      <x:c r="C49" s="68"/>
      <x:c r="D49" s="72"/>
      <x:c r="E49" s="68"/>
      <x:c r="F49" s="68"/>
      <x:c r="G49" s="68"/>
      <x:c r="H49" s="68" t="str">
        <x:f>IF(A49="","",TEXT(A49,"yyyy-mm"))</x:f>
      </x:c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 ht="15.75" customHeight="1">
      <x:c r="A50" s="81"/>
      <x:c r="B50" s="68"/>
      <x:c r="C50" s="68"/>
      <x:c r="D50" s="72"/>
      <x:c r="E50" s="68"/>
      <x:c r="F50" s="68"/>
      <x:c r="G50" s="68"/>
      <x:c r="H50" s="68" t="str">
        <x:f>IF(A50="","",TEXT(A50,"yyyy-mm"))</x:f>
      </x:c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 ht="15.75" customHeight="1">
      <x:c r="A51" s="81"/>
      <x:c r="B51" s="68"/>
      <x:c r="C51" s="68"/>
      <x:c r="D51" s="72"/>
      <x:c r="E51" s="68"/>
      <x:c r="F51" s="68"/>
      <x:c r="G51" s="68"/>
      <x:c r="H51" s="68" t="str">
        <x:f>IF(A51="","",TEXT(A51,"yyyy-mm"))</x:f>
      </x:c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 ht="15.75" customHeight="1">
      <x:c r="A52" s="81"/>
      <x:c r="B52" s="68"/>
      <x:c r="C52" s="68"/>
      <x:c r="D52" s="72"/>
      <x:c r="E52" s="68"/>
      <x:c r="F52" s="68"/>
      <x:c r="G52" s="68"/>
      <x:c r="H52" s="68" t="str">
        <x:f>IF(A52="","",TEXT(A52,"yyyy-mm"))</x:f>
      </x:c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 ht="15.75" customHeight="1">
      <x:c r="A53" s="81"/>
      <x:c r="B53" s="68"/>
      <x:c r="C53" s="68"/>
      <x:c r="D53" s="72"/>
      <x:c r="E53" s="68"/>
      <x:c r="F53" s="68"/>
      <x:c r="G53" s="68"/>
      <x:c r="H53" s="68" t="str">
        <x:f>IF(A53="","",TEXT(A53,"yyyy-mm"))</x:f>
      </x:c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 ht="15.75" customHeight="1">
      <x:c r="A54" s="81"/>
      <x:c r="B54" s="68"/>
      <x:c r="C54" s="68"/>
      <x:c r="D54" s="72"/>
      <x:c r="E54" s="68"/>
      <x:c r="F54" s="68"/>
      <x:c r="G54" s="68"/>
      <x:c r="H54" s="68" t="str">
        <x:f>IF(A54="","",TEXT(A54,"yyyy-mm"))</x:f>
      </x:c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 ht="15.75" customHeight="1">
      <x:c r="A55" s="81"/>
      <x:c r="B55" s="68"/>
      <x:c r="C55" s="68"/>
      <x:c r="D55" s="72"/>
      <x:c r="E55" s="68"/>
      <x:c r="F55" s="68"/>
      <x:c r="G55" s="68"/>
      <x:c r="H55" s="68" t="str">
        <x:f>IF(A55="","",TEXT(A55,"yyyy-mm"))</x:f>
      </x:c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 ht="15.75" customHeight="1">
      <x:c r="A56" s="81"/>
      <x:c r="B56" s="68"/>
      <x:c r="C56" s="68"/>
      <x:c r="D56" s="72"/>
      <x:c r="E56" s="68"/>
      <x:c r="F56" s="68"/>
      <x:c r="G56" s="68"/>
      <x:c r="H56" s="68" t="str">
        <x:f>IF(A56="","",TEXT(A56,"yyyy-mm"))</x:f>
      </x:c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 ht="15.75" customHeight="1">
      <x:c r="A57" s="81"/>
      <x:c r="B57" s="68"/>
      <x:c r="C57" s="68"/>
      <x:c r="D57" s="72"/>
      <x:c r="E57" s="68"/>
      <x:c r="F57" s="68"/>
      <x:c r="G57" s="68"/>
      <x:c r="H57" s="68" t="str">
        <x:f>IF(A57="","",TEXT(A57,"yyyy-mm"))</x:f>
      </x:c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 ht="15.75" customHeight="1">
      <x:c r="A58" s="81"/>
      <x:c r="B58" s="68"/>
      <x:c r="C58" s="68"/>
      <x:c r="D58" s="72"/>
      <x:c r="E58" s="68"/>
      <x:c r="F58" s="68"/>
      <x:c r="G58" s="68"/>
      <x:c r="H58" s="68" t="str">
        <x:f>IF(A58="","",TEXT(A58,"yyyy-mm"))</x:f>
      </x:c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 ht="15.75" customHeight="1">
      <x:c r="A59" s="81"/>
      <x:c r="B59" s="68"/>
      <x:c r="C59" s="68"/>
      <x:c r="D59" s="72"/>
      <x:c r="E59" s="68"/>
      <x:c r="F59" s="68"/>
      <x:c r="G59" s="68"/>
      <x:c r="H59" s="68" t="str">
        <x:f>IF(A59="","",TEXT(A59,"yyyy-mm"))</x:f>
      </x:c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 ht="15.75" customHeight="1">
      <x:c r="A60" s="81"/>
      <x:c r="B60" s="68"/>
      <x:c r="C60" s="68"/>
      <x:c r="D60" s="72"/>
      <x:c r="E60" s="68"/>
      <x:c r="F60" s="68"/>
      <x:c r="G60" s="68"/>
      <x:c r="H60" s="68" t="str">
        <x:f>IF(A60="","",TEXT(A60,"yyyy-mm"))</x:f>
      </x:c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 ht="15.75" customHeight="1">
      <x:c r="A61" s="81"/>
      <x:c r="B61" s="68"/>
      <x:c r="C61" s="68"/>
      <x:c r="D61" s="72"/>
      <x:c r="E61" s="68"/>
      <x:c r="F61" s="68"/>
      <x:c r="G61" s="68"/>
      <x:c r="H61" s="68" t="str">
        <x:f>IF(A61="","",TEXT(A61,"yyyy-mm"))</x:f>
      </x:c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 ht="15.75" customHeight="1">
      <x:c r="A62" s="81"/>
      <x:c r="B62" s="68"/>
      <x:c r="C62" s="68"/>
      <x:c r="D62" s="72"/>
      <x:c r="E62" s="68"/>
      <x:c r="F62" s="68"/>
      <x:c r="G62" s="68"/>
      <x:c r="H62" s="68" t="str">
        <x:f>IF(A62="","",TEXT(A62,"yyyy-mm"))</x:f>
      </x:c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 ht="15.75" customHeight="1">
      <x:c r="A63" s="81"/>
      <x:c r="B63" s="68"/>
      <x:c r="C63" s="68"/>
      <x:c r="D63" s="72"/>
      <x:c r="E63" s="68"/>
      <x:c r="F63" s="68"/>
      <x:c r="G63" s="68"/>
      <x:c r="H63" s="68" t="str">
        <x:f>IF(A63="","",TEXT(A63,"yyyy-mm"))</x:f>
      </x:c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 ht="15.75" customHeight="1">
      <x:c r="A64" s="81"/>
      <x:c r="B64" s="68"/>
      <x:c r="C64" s="68"/>
      <x:c r="D64" s="72"/>
      <x:c r="E64" s="68"/>
      <x:c r="F64" s="68"/>
      <x:c r="G64" s="68"/>
      <x:c r="H64" s="68" t="str">
        <x:f>IF(A64="","",TEXT(A64,"yyyy-mm"))</x:f>
      </x:c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 ht="15.75" customHeight="1">
      <x:c r="A65" s="81"/>
      <x:c r="B65" s="68"/>
      <x:c r="C65" s="68"/>
      <x:c r="D65" s="72"/>
      <x:c r="E65" s="68"/>
      <x:c r="F65" s="68"/>
      <x:c r="G65" s="68"/>
      <x:c r="H65" s="68" t="str">
        <x:f>IF(A65="","",TEXT(A65,"yyyy-mm"))</x:f>
      </x:c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 ht="15.75" customHeight="1">
      <x:c r="A66" s="81"/>
      <x:c r="B66" s="68"/>
      <x:c r="C66" s="68"/>
      <x:c r="D66" s="72"/>
      <x:c r="E66" s="68"/>
      <x:c r="F66" s="68"/>
      <x:c r="G66" s="68"/>
      <x:c r="H66" s="68" t="str">
        <x:f>IF(A66="","",TEXT(A66,"yyyy-mm"))</x:f>
      </x:c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 ht="15.75" customHeight="1">
      <x:c r="A67" s="81"/>
      <x:c r="B67" s="68"/>
      <x:c r="C67" s="68"/>
      <x:c r="D67" s="72"/>
      <x:c r="E67" s="68"/>
      <x:c r="F67" s="68"/>
      <x:c r="G67" s="68"/>
      <x:c r="H67" s="68" t="str">
        <x:f>IF(A67="","",TEXT(A67,"yyyy-mm"))</x:f>
      </x:c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 ht="15.75" customHeight="1">
      <x:c r="A68" s="81"/>
      <x:c r="B68" s="68"/>
      <x:c r="C68" s="68"/>
      <x:c r="D68" s="72"/>
      <x:c r="E68" s="68"/>
      <x:c r="F68" s="68"/>
      <x:c r="G68" s="68"/>
      <x:c r="H68" s="68" t="str">
        <x:f>IF(A68="","",TEXT(A68,"yyyy-mm"))</x:f>
      </x:c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 ht="15.75" customHeight="1">
      <x:c r="A69" s="81"/>
      <x:c r="B69" s="68"/>
      <x:c r="C69" s="68"/>
      <x:c r="D69" s="72"/>
      <x:c r="E69" s="68"/>
      <x:c r="F69" s="68"/>
      <x:c r="G69" s="68"/>
      <x:c r="H69" s="68" t="str">
        <x:f>IF(A69="","",TEXT(A69,"yyyy-mm"))</x:f>
      </x:c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 ht="15.75" customHeight="1">
      <x:c r="A70" s="81"/>
      <x:c r="B70" s="68"/>
      <x:c r="C70" s="68"/>
      <x:c r="D70" s="72"/>
      <x:c r="E70" s="68"/>
      <x:c r="F70" s="68"/>
      <x:c r="G70" s="68"/>
      <x:c r="H70" s="68" t="str">
        <x:f>IF(A70="","",TEXT(A70,"yyyy-mm"))</x:f>
      </x:c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 ht="15.75" customHeight="1">
      <x:c r="A71" s="81"/>
      <x:c r="B71" s="68"/>
      <x:c r="C71" s="68"/>
      <x:c r="D71" s="72"/>
      <x:c r="E71" s="68"/>
      <x:c r="F71" s="68"/>
      <x:c r="G71" s="68"/>
      <x:c r="H71" s="68" t="str">
        <x:f>IF(A71="","",TEXT(A71,"yyyy-mm"))</x:f>
      </x:c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 ht="15.75" customHeight="1">
      <x:c r="A72" s="81"/>
      <x:c r="B72" s="68"/>
      <x:c r="C72" s="68"/>
      <x:c r="D72" s="72"/>
      <x:c r="E72" s="68"/>
      <x:c r="F72" s="68"/>
      <x:c r="G72" s="68"/>
      <x:c r="H72" s="68" t="str">
        <x:f>IF(A72="","",TEXT(A72,"yyyy-mm"))</x:f>
      </x:c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 ht="15.75" customHeight="1">
      <x:c r="A73" s="81"/>
      <x:c r="B73" s="68"/>
      <x:c r="C73" s="68"/>
      <x:c r="D73" s="72"/>
      <x:c r="E73" s="68"/>
      <x:c r="F73" s="68"/>
      <x:c r="G73" s="68"/>
      <x:c r="H73" s="68" t="str">
        <x:f>IF(A73="","",TEXT(A73,"yyyy-mm"))</x:f>
      </x:c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 ht="15.75" customHeight="1">
      <x:c r="A74" s="81"/>
      <x:c r="B74" s="68"/>
      <x:c r="C74" s="68"/>
      <x:c r="D74" s="72"/>
      <x:c r="E74" s="68"/>
      <x:c r="F74" s="68"/>
      <x:c r="G74" s="68"/>
      <x:c r="H74" s="68" t="str">
        <x:f>IF(A74="","",TEXT(A74,"yyyy-mm"))</x:f>
      </x:c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 ht="15.75" customHeight="1">
      <x:c r="A75" s="81"/>
      <x:c r="B75" s="68"/>
      <x:c r="C75" s="68"/>
      <x:c r="D75" s="72"/>
      <x:c r="E75" s="68"/>
      <x:c r="F75" s="68"/>
      <x:c r="G75" s="68"/>
      <x:c r="H75" s="68" t="str">
        <x:f>IF(A75="","",TEXT(A75,"yyyy-mm"))</x:f>
      </x:c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 ht="15.75" customHeight="1">
      <x:c r="A76" s="81"/>
      <x:c r="B76" s="68"/>
      <x:c r="C76" s="68"/>
      <x:c r="D76" s="72"/>
      <x:c r="E76" s="68"/>
      <x:c r="F76" s="68"/>
      <x:c r="G76" s="68"/>
      <x:c r="H76" s="68" t="str">
        <x:f>IF(A76="","",TEXT(A76,"yyyy-mm"))</x:f>
      </x:c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 ht="15.75" customHeight="1">
      <x:c r="A77" s="81"/>
      <x:c r="B77" s="68"/>
      <x:c r="C77" s="68"/>
      <x:c r="D77" s="72"/>
      <x:c r="E77" s="68"/>
      <x:c r="F77" s="68"/>
      <x:c r="G77" s="68"/>
      <x:c r="H77" s="68" t="str">
        <x:f>IF(A77="","",TEXT(A77,"yyyy-mm"))</x:f>
      </x:c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 ht="15.75" customHeight="1">
      <x:c r="A78" s="81"/>
      <x:c r="B78" s="68"/>
      <x:c r="C78" s="68"/>
      <x:c r="D78" s="72"/>
      <x:c r="E78" s="68"/>
      <x:c r="F78" s="68"/>
      <x:c r="G78" s="68"/>
      <x:c r="H78" s="68" t="str">
        <x:f>IF(A78="","",TEXT(A78,"yyyy-mm"))</x:f>
      </x:c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 ht="15.75" customHeight="1">
      <x:c r="A79" s="81"/>
      <x:c r="B79" s="68"/>
      <x:c r="C79" s="68"/>
      <x:c r="D79" s="72"/>
      <x:c r="E79" s="68"/>
      <x:c r="F79" s="68"/>
      <x:c r="G79" s="68"/>
      <x:c r="H79" s="68" t="str">
        <x:f>IF(A79="","",TEXT(A79,"yyyy-mm"))</x:f>
      </x:c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 ht="15.75" customHeight="1">
      <x:c r="A80" s="81"/>
      <x:c r="B80" s="68"/>
      <x:c r="C80" s="68"/>
      <x:c r="D80" s="72"/>
      <x:c r="E80" s="68"/>
      <x:c r="F80" s="68"/>
      <x:c r="G80" s="68"/>
      <x:c r="H80" s="68" t="str">
        <x:f>IF(A80="","",TEXT(A80,"yyyy-mm"))</x:f>
      </x:c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 ht="15.75" customHeight="1">
      <x:c r="A81" s="81"/>
      <x:c r="B81" s="68"/>
      <x:c r="C81" s="68"/>
      <x:c r="D81" s="72"/>
      <x:c r="E81" s="68"/>
      <x:c r="F81" s="68"/>
      <x:c r="G81" s="68"/>
      <x:c r="H81" s="68" t="str">
        <x:f>IF(A81="","",TEXT(A81,"yyyy-mm"))</x:f>
      </x:c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 ht="15.75" customHeight="1">
      <x:c r="A82" s="81"/>
      <x:c r="B82" s="68"/>
      <x:c r="C82" s="68"/>
      <x:c r="D82" s="72"/>
      <x:c r="E82" s="68"/>
      <x:c r="F82" s="68"/>
      <x:c r="G82" s="68"/>
      <x:c r="H82" s="68" t="str">
        <x:f>IF(A82="","",TEXT(A82,"yyyy-mm"))</x:f>
      </x:c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 ht="15.75" customHeight="1">
      <x:c r="A83" s="81"/>
      <x:c r="B83" s="68"/>
      <x:c r="C83" s="68"/>
      <x:c r="D83" s="72"/>
      <x:c r="E83" s="68"/>
      <x:c r="F83" s="68"/>
      <x:c r="G83" s="68"/>
      <x:c r="H83" s="68" t="str">
        <x:f>IF(A83="","",TEXT(A83,"yyyy-mm"))</x:f>
      </x:c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 ht="15.75" customHeight="1">
      <x:c r="A84" s="81"/>
      <x:c r="B84" s="68"/>
      <x:c r="C84" s="68"/>
      <x:c r="D84" s="72"/>
      <x:c r="E84" s="68"/>
      <x:c r="F84" s="68"/>
      <x:c r="G84" s="68"/>
      <x:c r="H84" s="68" t="str">
        <x:f>IF(A84="","",TEXT(A84,"yyyy-mm"))</x:f>
      </x:c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 ht="15.75" customHeight="1">
      <x:c r="A85" s="81"/>
      <x:c r="B85" s="68"/>
      <x:c r="C85" s="68"/>
      <x:c r="D85" s="72"/>
      <x:c r="E85" s="68"/>
      <x:c r="F85" s="68"/>
      <x:c r="G85" s="68"/>
      <x:c r="H85" s="68" t="str">
        <x:f>IF(A85="","",TEXT(A85,"yyyy-mm"))</x:f>
      </x:c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 ht="15.75" customHeight="1">
      <x:c r="A86" s="81"/>
      <x:c r="B86" s="68"/>
      <x:c r="C86" s="68"/>
      <x:c r="D86" s="72"/>
      <x:c r="E86" s="68"/>
      <x:c r="F86" s="68"/>
      <x:c r="G86" s="68"/>
      <x:c r="H86" s="68" t="str">
        <x:f>IF(A86="","",TEXT(A86,"yyyy-mm"))</x:f>
      </x:c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 ht="15.75" customHeight="1">
      <x:c r="A87" s="81"/>
      <x:c r="B87" s="68"/>
      <x:c r="C87" s="68"/>
      <x:c r="D87" s="72"/>
      <x:c r="E87" s="68"/>
      <x:c r="F87" s="68"/>
      <x:c r="G87" s="68"/>
      <x:c r="H87" s="68" t="str">
        <x:f>IF(A87="","",TEXT(A87,"yyyy-mm"))</x:f>
      </x:c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 ht="15.75" customHeight="1">
      <x:c r="A88" s="81"/>
      <x:c r="B88" s="68"/>
      <x:c r="C88" s="68"/>
      <x:c r="D88" s="72"/>
      <x:c r="E88" s="68"/>
      <x:c r="F88" s="68"/>
      <x:c r="G88" s="68"/>
      <x:c r="H88" s="68" t="str">
        <x:f>IF(A88="","",TEXT(A88,"yyyy-mm"))</x:f>
      </x:c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 ht="15.75" customHeight="1">
      <x:c r="A89" s="81"/>
      <x:c r="B89" s="68"/>
      <x:c r="C89" s="68"/>
      <x:c r="D89" s="72"/>
      <x:c r="E89" s="68"/>
      <x:c r="F89" s="68"/>
      <x:c r="G89" s="68"/>
      <x:c r="H89" s="68" t="str">
        <x:f>IF(A89="","",TEXT(A89,"yyyy-mm"))</x:f>
      </x:c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 ht="15.75" customHeight="1">
      <x:c r="A90" s="81"/>
      <x:c r="B90" s="68"/>
      <x:c r="C90" s="68"/>
      <x:c r="D90" s="72"/>
      <x:c r="E90" s="68"/>
      <x:c r="F90" s="68"/>
      <x:c r="G90" s="68"/>
      <x:c r="H90" s="68" t="str">
        <x:f>IF(A90="","",TEXT(A90,"yyyy-mm"))</x:f>
      </x:c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 ht="15.75" customHeight="1">
      <x:c r="A91" s="81"/>
      <x:c r="B91" s="68"/>
      <x:c r="C91" s="68"/>
      <x:c r="D91" s="72"/>
      <x:c r="E91" s="68"/>
      <x:c r="F91" s="68"/>
      <x:c r="G91" s="68"/>
      <x:c r="H91" s="68" t="str">
        <x:f>IF(A91="","",TEXT(A91,"yyyy-mm"))</x:f>
      </x:c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 ht="15.75" customHeight="1">
      <x:c r="A92" s="81"/>
      <x:c r="B92" s="68"/>
      <x:c r="C92" s="68"/>
      <x:c r="D92" s="72"/>
      <x:c r="E92" s="68"/>
      <x:c r="F92" s="68"/>
      <x:c r="G92" s="68"/>
      <x:c r="H92" s="68" t="str">
        <x:f>IF(A92="","",TEXT(A92,"yyyy-mm"))</x:f>
      </x:c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 ht="15.75" customHeight="1">
      <x:c r="A93" s="81"/>
      <x:c r="B93" s="68"/>
      <x:c r="C93" s="68"/>
      <x:c r="D93" s="72"/>
      <x:c r="E93" s="68"/>
      <x:c r="F93" s="68"/>
      <x:c r="G93" s="68"/>
      <x:c r="H93" s="68" t="str">
        <x:f>IF(A93="","",TEXT(A93,"yyyy-mm"))</x:f>
      </x:c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 ht="15.75" customHeight="1">
      <x:c r="A94" s="81"/>
      <x:c r="B94" s="68"/>
      <x:c r="C94" s="68"/>
      <x:c r="D94" s="72"/>
      <x:c r="E94" s="68"/>
      <x:c r="F94" s="68"/>
      <x:c r="G94" s="68"/>
      <x:c r="H94" s="68" t="str">
        <x:f>IF(A94="","",TEXT(A94,"yyyy-mm"))</x:f>
      </x:c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 ht="15.75" customHeight="1">
      <x:c r="A95" s="81"/>
      <x:c r="B95" s="68"/>
      <x:c r="C95" s="68"/>
      <x:c r="D95" s="72"/>
      <x:c r="E95" s="68"/>
      <x:c r="F95" s="68"/>
      <x:c r="G95" s="68"/>
      <x:c r="H95" s="68" t="str">
        <x:f>IF(A95="","",TEXT(A95,"yyyy-mm"))</x:f>
      </x:c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 ht="15.75" customHeight="1">
      <x:c r="A96" s="81"/>
      <x:c r="B96" s="68"/>
      <x:c r="C96" s="68"/>
      <x:c r="D96" s="72"/>
      <x:c r="E96" s="68"/>
      <x:c r="F96" s="68"/>
      <x:c r="G96" s="68"/>
      <x:c r="H96" s="68" t="str">
        <x:f>IF(A96="","",TEXT(A96,"yyyy-mm"))</x:f>
      </x:c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 ht="15.75" customHeight="1">
      <x:c r="A97" s="81"/>
      <x:c r="B97" s="68"/>
      <x:c r="C97" s="68"/>
      <x:c r="D97" s="72"/>
      <x:c r="E97" s="68"/>
      <x:c r="F97" s="68"/>
      <x:c r="G97" s="68"/>
      <x:c r="H97" s="68" t="str">
        <x:f>IF(A97="","",TEXT(A97,"yyyy-mm"))</x:f>
      </x:c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 ht="15.75" customHeight="1">
      <x:c r="A98" s="81"/>
      <x:c r="B98" s="68"/>
      <x:c r="C98" s="68"/>
      <x:c r="D98" s="72"/>
      <x:c r="E98" s="68"/>
      <x:c r="F98" s="68"/>
      <x:c r="G98" s="68"/>
      <x:c r="H98" s="68" t="str">
        <x:f>IF(A98="","",TEXT(A98,"yyyy-mm"))</x:f>
      </x:c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 ht="15.75" customHeight="1">
      <x:c r="A99" s="81"/>
      <x:c r="B99" s="68"/>
      <x:c r="C99" s="68"/>
      <x:c r="D99" s="72"/>
      <x:c r="E99" s="68"/>
      <x:c r="F99" s="68"/>
      <x:c r="G99" s="68"/>
      <x:c r="H99" s="68" t="str">
        <x:f>IF(A99="","",TEXT(A99,"yyyy-mm"))</x:f>
      </x:c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 ht="15.75" customHeight="1">
      <x:c r="A100" s="81"/>
      <x:c r="B100" s="68"/>
      <x:c r="C100" s="68"/>
      <x:c r="D100" s="72"/>
      <x:c r="E100" s="68"/>
      <x:c r="F100" s="68"/>
      <x:c r="G100" s="68"/>
      <x:c r="H100" s="68" t="str">
        <x:f>IF(A100="","",TEXT(A100,"yyyy-mm"))</x:f>
      </x:c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 ht="15.75" customHeight="1">
      <x:c r="A101" s="81"/>
      <x:c r="B101" s="68"/>
      <x:c r="C101" s="68"/>
      <x:c r="D101" s="72"/>
      <x:c r="E101" s="68"/>
      <x:c r="F101" s="68"/>
      <x:c r="G101" s="68"/>
      <x:c r="H101" s="68" t="str">
        <x:f>IF(A101="","",TEXT(A101,"yyyy-mm"))</x:f>
      </x:c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 ht="15.75" customHeight="1">
      <x:c r="A102" s="68"/>
      <x:c r="B102" s="68"/>
      <x:c r="C102" s="68"/>
      <x:c r="D102" s="70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 ht="15.75" customHeight="1">
      <x:c r="A103" s="68"/>
      <x:c r="B103" s="68"/>
      <x:c r="C103" s="68"/>
      <x:c r="D103" s="70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 ht="15.75" customHeight="1">
      <x:c r="A104" s="68"/>
      <x:c r="B104" s="68"/>
      <x:c r="C104" s="68"/>
      <x:c r="D104" s="70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 ht="15.75" customHeight="1">
      <x:c r="A105" s="68"/>
      <x:c r="B105" s="68"/>
      <x:c r="C105" s="68"/>
      <x:c r="D105" s="70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 ht="15.75" customHeight="1">
      <x:c r="A106" s="68"/>
      <x:c r="B106" s="68"/>
      <x:c r="C106" s="68"/>
      <x:c r="D106" s="70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 ht="15.75" customHeight="1">
      <x:c r="A107" s="68"/>
      <x:c r="B107" s="68"/>
      <x:c r="C107" s="68"/>
      <x:c r="D107" s="70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 ht="15.75" customHeight="1">
      <x:c r="A108" s="68"/>
      <x:c r="B108" s="68"/>
      <x:c r="C108" s="68"/>
      <x:c r="D108" s="70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 ht="15.75" customHeight="1">
      <x:c r="A109" s="68"/>
      <x:c r="B109" s="68"/>
      <x:c r="C109" s="68"/>
      <x:c r="D109" s="70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 ht="15.75" customHeight="1">
      <x:c r="A110" s="68"/>
      <x:c r="B110" s="68"/>
      <x:c r="C110" s="68"/>
      <x:c r="D110" s="70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 ht="15.75" customHeight="1">
      <x:c r="A111" s="68"/>
      <x:c r="B111" s="68"/>
      <x:c r="C111" s="68"/>
      <x:c r="D111" s="70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 ht="15.75" customHeight="1">
      <x:c r="A112" s="68"/>
      <x:c r="B112" s="68"/>
      <x:c r="C112" s="68"/>
      <x:c r="D112" s="70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 ht="15.75" customHeight="1">
      <x:c r="A113" s="68"/>
      <x:c r="B113" s="68"/>
      <x:c r="C113" s="68"/>
      <x:c r="D113" s="70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 ht="15.75" customHeight="1">
      <x:c r="A114" s="68"/>
      <x:c r="B114" s="68"/>
      <x:c r="C114" s="68"/>
      <x:c r="D114" s="70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 ht="15.75" customHeight="1">
      <x:c r="A115" s="68"/>
      <x:c r="B115" s="68"/>
      <x:c r="C115" s="68"/>
      <x:c r="D115" s="70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 ht="15.75" customHeight="1">
      <x:c r="A116" s="68"/>
      <x:c r="B116" s="68"/>
      <x:c r="C116" s="68"/>
      <x:c r="D116" s="70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 ht="15.75" customHeight="1">
      <x:c r="A117" s="68"/>
      <x:c r="B117" s="68"/>
      <x:c r="C117" s="68"/>
      <x:c r="D117" s="70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 ht="15.75" customHeight="1">
      <x:c r="A118" s="68"/>
      <x:c r="B118" s="68"/>
      <x:c r="C118" s="68"/>
      <x:c r="D118" s="70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 ht="15.75" customHeight="1">
      <x:c r="A119" s="68"/>
      <x:c r="B119" s="68"/>
      <x:c r="C119" s="68"/>
      <x:c r="D119" s="70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 ht="15.75" customHeight="1">
      <x:c r="A120" s="68"/>
      <x:c r="B120" s="68"/>
      <x:c r="C120" s="68"/>
      <x:c r="D120" s="70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 ht="15.75" customHeight="1">
      <x:c r="A121" s="68"/>
      <x:c r="B121" s="68"/>
      <x:c r="C121" s="68"/>
      <x:c r="D121" s="70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 ht="15.75" customHeight="1">
      <x:c r="A122" s="68"/>
      <x:c r="B122" s="68"/>
      <x:c r="C122" s="68"/>
      <x:c r="D122" s="70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 ht="15.75" customHeight="1">
      <x:c r="A123" s="68"/>
      <x:c r="B123" s="68"/>
      <x:c r="C123" s="68"/>
      <x:c r="D123" s="70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 ht="15.75" customHeight="1">
      <x:c r="A124" s="68"/>
      <x:c r="B124" s="68"/>
      <x:c r="C124" s="68"/>
      <x:c r="D124" s="70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 ht="15.75" customHeight="1">
      <x:c r="A125" s="68"/>
      <x:c r="B125" s="68"/>
      <x:c r="C125" s="68"/>
      <x:c r="D125" s="70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 ht="15.75" customHeight="1">
      <x:c r="A126" s="68"/>
      <x:c r="B126" s="68"/>
      <x:c r="C126" s="68"/>
      <x:c r="D126" s="70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 ht="15.75" customHeight="1">
      <x:c r="A127" s="68"/>
      <x:c r="B127" s="68"/>
      <x:c r="C127" s="68"/>
      <x:c r="D127" s="70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 ht="15.75" customHeight="1">
      <x:c r="A128" s="68"/>
      <x:c r="B128" s="68"/>
      <x:c r="C128" s="68"/>
      <x:c r="D128" s="70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 ht="15.75" customHeight="1">
      <x:c r="A129" s="68"/>
      <x:c r="B129" s="68"/>
      <x:c r="C129" s="68"/>
      <x:c r="D129" s="70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 ht="15.75" customHeight="1">
      <x:c r="A130" s="68"/>
      <x:c r="B130" s="68"/>
      <x:c r="C130" s="68"/>
      <x:c r="D130" s="70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 ht="15.75" customHeight="1">
      <x:c r="A131" s="68"/>
      <x:c r="B131" s="68"/>
      <x:c r="C131" s="68"/>
      <x:c r="D131" s="70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 ht="15.75" customHeight="1">
      <x:c r="A132" s="68"/>
      <x:c r="B132" s="68"/>
      <x:c r="C132" s="68"/>
      <x:c r="D132" s="70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 ht="15.75" customHeight="1">
      <x:c r="A133" s="68"/>
      <x:c r="B133" s="68"/>
      <x:c r="C133" s="68"/>
      <x:c r="D133" s="70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 ht="15.75" customHeight="1">
      <x:c r="A134" s="68"/>
      <x:c r="B134" s="68"/>
      <x:c r="C134" s="68"/>
      <x:c r="D134" s="70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 ht="15.75" customHeight="1">
      <x:c r="A135" s="68"/>
      <x:c r="B135" s="68"/>
      <x:c r="C135" s="68"/>
      <x:c r="D135" s="70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 ht="15.75" customHeight="1">
      <x:c r="A136" s="68"/>
      <x:c r="B136" s="68"/>
      <x:c r="C136" s="68"/>
      <x:c r="D136" s="70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 ht="15.75" customHeight="1">
      <x:c r="A137" s="68"/>
      <x:c r="B137" s="68"/>
      <x:c r="C137" s="68"/>
      <x:c r="D137" s="70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 ht="15.75" customHeight="1">
      <x:c r="A138" s="68"/>
      <x:c r="B138" s="68"/>
      <x:c r="C138" s="68"/>
      <x:c r="D138" s="70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 ht="15.75" customHeight="1">
      <x:c r="A139" s="68"/>
      <x:c r="B139" s="68"/>
      <x:c r="C139" s="68"/>
      <x:c r="D139" s="70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 ht="15.75" customHeight="1">
      <x:c r="A140" s="68"/>
      <x:c r="B140" s="68"/>
      <x:c r="C140" s="68"/>
      <x:c r="D140" s="70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 ht="15.75" customHeight="1">
      <x:c r="A141" s="68"/>
      <x:c r="B141" s="68"/>
      <x:c r="C141" s="68"/>
      <x:c r="D141" s="70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 ht="15.75" customHeight="1">
      <x:c r="A142" s="68"/>
      <x:c r="B142" s="68"/>
      <x:c r="C142" s="68"/>
      <x:c r="D142" s="70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 ht="15.75" customHeight="1">
      <x:c r="A143" s="68"/>
      <x:c r="B143" s="68"/>
      <x:c r="C143" s="68"/>
      <x:c r="D143" s="70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 ht="15.75" customHeight="1">
      <x:c r="A144" s="68"/>
      <x:c r="B144" s="68"/>
      <x:c r="C144" s="68"/>
      <x:c r="D144" s="70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 ht="15.75" customHeight="1">
      <x:c r="A145" s="68"/>
      <x:c r="B145" s="68"/>
      <x:c r="C145" s="68"/>
      <x:c r="D145" s="70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 ht="15.75" customHeight="1">
      <x:c r="A146" s="68"/>
      <x:c r="B146" s="68"/>
      <x:c r="C146" s="68"/>
      <x:c r="D146" s="70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 ht="15.75" customHeight="1">
      <x:c r="A147" s="68"/>
      <x:c r="B147" s="68"/>
      <x:c r="C147" s="68"/>
      <x:c r="D147" s="70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 ht="15.75" customHeight="1">
      <x:c r="A148" s="68"/>
      <x:c r="B148" s="68"/>
      <x:c r="C148" s="68"/>
      <x:c r="D148" s="70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 ht="15.75" customHeight="1">
      <x:c r="A149" s="68"/>
      <x:c r="B149" s="68"/>
      <x:c r="C149" s="68"/>
      <x:c r="D149" s="70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 ht="15.75" customHeight="1">
      <x:c r="A150" s="68"/>
      <x:c r="B150" s="68"/>
      <x:c r="C150" s="68"/>
      <x:c r="D150" s="70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 ht="15.75" customHeight="1">
      <x:c r="A151" s="68"/>
      <x:c r="B151" s="68"/>
      <x:c r="C151" s="68"/>
      <x:c r="D151" s="70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 ht="15.75" customHeight="1">
      <x:c r="A152" s="68"/>
      <x:c r="B152" s="68"/>
      <x:c r="C152" s="68"/>
      <x:c r="D152" s="70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 ht="15.75" customHeight="1">
      <x:c r="A153" s="68"/>
      <x:c r="B153" s="68"/>
      <x:c r="C153" s="68"/>
      <x:c r="D153" s="70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 ht="15.75" customHeight="1">
      <x:c r="A154" s="68"/>
      <x:c r="B154" s="68"/>
      <x:c r="C154" s="68"/>
      <x:c r="D154" s="70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 ht="15.75" customHeight="1">
      <x:c r="A155" s="68"/>
      <x:c r="B155" s="68"/>
      <x:c r="C155" s="68"/>
      <x:c r="D155" s="70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 ht="15.75" customHeight="1">
      <x:c r="A156" s="68"/>
      <x:c r="B156" s="68"/>
      <x:c r="C156" s="68"/>
      <x:c r="D156" s="70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 ht="15.75" customHeight="1">
      <x:c r="A157" s="68"/>
      <x:c r="B157" s="68"/>
      <x:c r="C157" s="68"/>
      <x:c r="D157" s="70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 ht="15.75" customHeight="1">
      <x:c r="A158" s="68"/>
      <x:c r="B158" s="68"/>
      <x:c r="C158" s="68"/>
      <x:c r="D158" s="70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 ht="15.75" customHeight="1">
      <x:c r="A159" s="68"/>
      <x:c r="B159" s="68"/>
      <x:c r="C159" s="68"/>
      <x:c r="D159" s="70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 ht="15.75" customHeight="1">
      <x:c r="A160" s="68"/>
      <x:c r="B160" s="68"/>
      <x:c r="C160" s="68"/>
      <x:c r="D160" s="70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 ht="15.75" customHeight="1">
      <x:c r="A161" s="68"/>
      <x:c r="B161" s="68"/>
      <x:c r="C161" s="68"/>
      <x:c r="D161" s="70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 ht="15.75" customHeight="1">
      <x:c r="A162" s="68"/>
      <x:c r="B162" s="68"/>
      <x:c r="C162" s="68"/>
      <x:c r="D162" s="70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 ht="15.75" customHeight="1">
      <x:c r="A163" s="68"/>
      <x:c r="B163" s="68"/>
      <x:c r="C163" s="68"/>
      <x:c r="D163" s="70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 ht="15.75" customHeight="1">
      <x:c r="A164" s="68"/>
      <x:c r="B164" s="68"/>
      <x:c r="C164" s="68"/>
      <x:c r="D164" s="70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 ht="15.75" customHeight="1">
      <x:c r="A165" s="68"/>
      <x:c r="B165" s="68"/>
      <x:c r="C165" s="68"/>
      <x:c r="D165" s="70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 ht="15.75" customHeight="1">
      <x:c r="A166" s="68"/>
      <x:c r="B166" s="68"/>
      <x:c r="C166" s="68"/>
      <x:c r="D166" s="70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 ht="15.75" customHeight="1">
      <x:c r="A167" s="68"/>
      <x:c r="B167" s="68"/>
      <x:c r="C167" s="68"/>
      <x:c r="D167" s="70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 ht="15.75" customHeight="1">
      <x:c r="A168" s="68"/>
      <x:c r="B168" s="68"/>
      <x:c r="C168" s="68"/>
      <x:c r="D168" s="70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 ht="15.75" customHeight="1">
      <x:c r="A169" s="68"/>
      <x:c r="B169" s="68"/>
      <x:c r="C169" s="68"/>
      <x:c r="D169" s="70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 ht="15.75" customHeight="1">
      <x:c r="A170" s="68"/>
      <x:c r="B170" s="68"/>
      <x:c r="C170" s="68"/>
      <x:c r="D170" s="70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 ht="15.75" customHeight="1">
      <x:c r="A171" s="68"/>
      <x:c r="B171" s="68"/>
      <x:c r="C171" s="68"/>
      <x:c r="D171" s="70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 ht="15.75" customHeight="1">
      <x:c r="A172" s="68"/>
      <x:c r="B172" s="68"/>
      <x:c r="C172" s="68"/>
      <x:c r="D172" s="70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 ht="15.75" customHeight="1">
      <x:c r="A173" s="68"/>
      <x:c r="B173" s="68"/>
      <x:c r="C173" s="68"/>
      <x:c r="D173" s="70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 ht="15.75" customHeight="1">
      <x:c r="A174" s="68"/>
      <x:c r="B174" s="68"/>
      <x:c r="C174" s="68"/>
      <x:c r="D174" s="70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 ht="15.75" customHeight="1">
      <x:c r="A175" s="68"/>
      <x:c r="B175" s="68"/>
      <x:c r="C175" s="68"/>
      <x:c r="D175" s="70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 ht="15.75" customHeight="1">
      <x:c r="A176" s="68"/>
      <x:c r="B176" s="68"/>
      <x:c r="C176" s="68"/>
      <x:c r="D176" s="70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 ht="15.75" customHeight="1">
      <x:c r="A177" s="68"/>
      <x:c r="B177" s="68"/>
      <x:c r="C177" s="68"/>
      <x:c r="D177" s="70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 ht="15.75" customHeight="1">
      <x:c r="A178" s="68"/>
      <x:c r="B178" s="68"/>
      <x:c r="C178" s="68"/>
      <x:c r="D178" s="70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 ht="15.75" customHeight="1">
      <x:c r="A179" s="68"/>
      <x:c r="B179" s="68"/>
      <x:c r="C179" s="68"/>
      <x:c r="D179" s="70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 ht="15.75" customHeight="1">
      <x:c r="A180" s="68"/>
      <x:c r="B180" s="68"/>
      <x:c r="C180" s="68"/>
      <x:c r="D180" s="70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 ht="15.75" customHeight="1">
      <x:c r="A181" s="68"/>
      <x:c r="B181" s="68"/>
      <x:c r="C181" s="68"/>
      <x:c r="D181" s="70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 ht="15.75" customHeight="1">
      <x:c r="A182" s="68"/>
      <x:c r="B182" s="68"/>
      <x:c r="C182" s="68"/>
      <x:c r="D182" s="70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 ht="15.75" customHeight="1">
      <x:c r="A183" s="68"/>
      <x:c r="B183" s="68"/>
      <x:c r="C183" s="68"/>
      <x:c r="D183" s="70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 ht="15.75" customHeight="1">
      <x:c r="A184" s="68"/>
      <x:c r="B184" s="68"/>
      <x:c r="C184" s="68"/>
      <x:c r="D184" s="70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 ht="15.75" customHeight="1">
      <x:c r="A185" s="68"/>
      <x:c r="B185" s="68"/>
      <x:c r="C185" s="68"/>
      <x:c r="D185" s="70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 ht="15.75" customHeight="1">
      <x:c r="A186" s="68"/>
      <x:c r="B186" s="68"/>
      <x:c r="C186" s="68"/>
      <x:c r="D186" s="70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 ht="15.75" customHeight="1">
      <x:c r="A187" s="68"/>
      <x:c r="B187" s="68"/>
      <x:c r="C187" s="68"/>
      <x:c r="D187" s="70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 ht="15.75" customHeight="1">
      <x:c r="A188" s="68"/>
      <x:c r="B188" s="68"/>
      <x:c r="C188" s="68"/>
      <x:c r="D188" s="70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 ht="15.75" customHeight="1">
      <x:c r="A189" s="68"/>
      <x:c r="B189" s="68"/>
      <x:c r="C189" s="68"/>
      <x:c r="D189" s="70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 ht="15.75" customHeight="1">
      <x:c r="A190" s="68"/>
      <x:c r="B190" s="68"/>
      <x:c r="C190" s="68"/>
      <x:c r="D190" s="70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 ht="15.75" customHeight="1">
      <x:c r="A191" s="68"/>
      <x:c r="B191" s="68"/>
      <x:c r="C191" s="68"/>
      <x:c r="D191" s="70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 ht="15.75" customHeight="1">
      <x:c r="A192" s="68"/>
      <x:c r="B192" s="68"/>
      <x:c r="C192" s="68"/>
      <x:c r="D192" s="70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 ht="15.75" customHeight="1">
      <x:c r="A193" s="68"/>
      <x:c r="B193" s="68"/>
      <x:c r="C193" s="68"/>
      <x:c r="D193" s="70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 ht="15.75" customHeight="1">
      <x:c r="A194" s="68"/>
      <x:c r="B194" s="68"/>
      <x:c r="C194" s="68"/>
      <x:c r="D194" s="70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 ht="15.75" customHeight="1">
      <x:c r="A195" s="68"/>
      <x:c r="B195" s="68"/>
      <x:c r="C195" s="68"/>
      <x:c r="D195" s="70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 ht="15.75" customHeight="1">
      <x:c r="A196" s="68"/>
      <x:c r="B196" s="68"/>
      <x:c r="C196" s="68"/>
      <x:c r="D196" s="70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 ht="15.75" customHeight="1">
      <x:c r="A197" s="68"/>
      <x:c r="B197" s="68"/>
      <x:c r="C197" s="68"/>
      <x:c r="D197" s="70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 ht="15.75" customHeight="1">
      <x:c r="A198" s="68"/>
      <x:c r="B198" s="68"/>
      <x:c r="C198" s="68"/>
      <x:c r="D198" s="70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 ht="15.75" customHeight="1">
      <x:c r="A199" s="68"/>
      <x:c r="B199" s="68"/>
      <x:c r="C199" s="68"/>
      <x:c r="D199" s="70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 ht="15.75" customHeight="1">
      <x:c r="A200" s="68"/>
      <x:c r="B200" s="68"/>
      <x:c r="C200" s="68"/>
      <x:c r="D200" s="70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  <x:row r="201" ht="15.75" customHeight="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 ht="15.75" customHeight="1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 ht="15.75" customHeight="1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 ht="15.75" customHeight="1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 ht="15.75" customHeight="1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 ht="15.75" customHeight="1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 ht="15.75" customHeight="1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 ht="15.75" customHeight="1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 ht="15.75" customHeight="1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 ht="15.75" customHeight="1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 ht="15.75" customHeight="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 ht="15.75" customHeight="1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 ht="15.75" customHeight="1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 ht="15.75" customHeight="1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 ht="15.75" customHeight="1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 ht="15.75" customHeight="1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 ht="15.75" customHeight="1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 ht="15.75" customHeight="1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 ht="15.75" customHeight="1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 ht="15.75" customHeight="1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 ht="15.75" customHeight="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 ht="15.75" customHeight="1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 ht="15.75" customHeight="1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 ht="15.75" customHeight="1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 ht="15.75" customHeight="1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 ht="15.75" customHeight="1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 ht="15.75" customHeight="1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 ht="15.75" customHeight="1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 ht="15.75" customHeight="1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 ht="15.75" customHeight="1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 ht="15.75" customHeight="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 ht="15.75" customHeight="1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 ht="15.75" customHeight="1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 ht="15.75" customHeight="1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 ht="15.75" customHeight="1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 ht="15.75" customHeight="1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 ht="15.75" customHeight="1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 ht="15.75" customHeight="1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 ht="15.75" customHeight="1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 ht="15.75" customHeight="1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 ht="15.75" customHeight="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 ht="15.75" customHeight="1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 ht="15.75" customHeight="1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 ht="15.75" customHeight="1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 ht="15.75" customHeight="1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 ht="15.75" customHeight="1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 ht="15.75" customHeight="1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 ht="15.75" customHeight="1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 ht="15.75" customHeight="1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 ht="15.75" customHeight="1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 ht="15.75" customHeight="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 ht="15.75" customHeight="1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 ht="15.75" customHeight="1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 ht="15.75" customHeight="1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 ht="15.75" customHeight="1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 ht="15.75" customHeight="1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 ht="15.75" customHeight="1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 ht="15.75" customHeight="1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 ht="15.75" customHeight="1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 ht="15.75" customHeight="1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 ht="15.75" customHeight="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 ht="15.75" customHeight="1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 ht="15.75" customHeight="1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 ht="15.75" customHeight="1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 ht="15.75" customHeight="1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 ht="15.75" customHeight="1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 ht="15.75" customHeight="1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 ht="15.75" customHeight="1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 ht="15.75" customHeight="1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 ht="15.75" customHeight="1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 ht="15.75" customHeight="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 ht="15.75" customHeight="1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 ht="15.75" customHeight="1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 ht="15.75" customHeight="1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 ht="15.75" customHeight="1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 ht="15.75" customHeight="1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 ht="15.75" customHeight="1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 ht="15.75" customHeight="1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 ht="15.75" customHeight="1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 ht="15.75" customHeight="1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 ht="15.75" customHeight="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 ht="15.75" customHeight="1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 ht="15.75" customHeight="1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 ht="15.75" customHeight="1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 ht="15.75" customHeight="1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 ht="15.75" customHeight="1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 ht="15.75" customHeight="1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 ht="15.75" customHeight="1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 ht="15.75" customHeight="1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 ht="15.75" customHeight="1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 ht="15.75" customHeight="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 ht="15.75" customHeight="1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 ht="15.75" customHeight="1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 ht="15.75" customHeight="1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 ht="15.75" customHeight="1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 ht="15.75" customHeight="1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 ht="15.75" customHeight="1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 ht="15.75" customHeight="1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 ht="15.75" customHeight="1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 ht="15.75" customHeight="1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E2:E200">
    <x:cfRule type="expression" dxfId="6" priority="1">
      <x:formula>OR(E2="Выполнено",E2="Готово",E2="Оплачен полностью",E2="Подписано")</x:formula>
    </x:cfRule>
  </x:conditionalFormatting>
  <x:conditionalFormatting sqref="E2:E200">
    <x:cfRule type="expression" dxfId="7" priority="2">
      <x:formula>OR(E2="Срочно",E2="Не оплачен")</x:formula>
    </x:cfRule>
  </x:conditionalFormatting>
  <x:conditionalFormatting sqref="E2:E200">
    <x:cfRule type="expression" dxfId="8" priority="3">
      <x:formula>OR(E2="В процессе",E2="Ожидаю","E2"="Депозит")</x:formula>
    </x:cfRule>
  </x:conditionalFormatting>
  <x:dataValidations count="2">
    <x:dataValidation type="list" allowBlank="1" sqref="E2:E200">
      <x:formula1>Lists!$B$2:$B$6</x:formula1>
    </x:dataValidation>
    <x:dataValidation type="list" sqref="E2:E101">
      <x:formula1>Lists!$A$2:$A$6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980612288614e9b"/>
    <x:tablePart xmlns:r="http://schemas.openxmlformats.org/officeDocument/2006/relationships" r:id="R8a376d058c5d4c4a"/>
  </x:tableParts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6" hidden="0" customWidth="1"/>
    <x:col min="2" max="2" width="16" hidden="0" customWidth="1"/>
    <x:col min="3" max="3" width="38" hidden="0" customWidth="1"/>
    <x:col min="4" max="6" width="8.630000114440918" customWidth="1"/>
    <x:col min="7" max="7" width="16" hidden="0" customWidth="1"/>
    <x:col min="8" max="26" width="8.630000114440918" customWidth="1"/>
    <x:col min="4" max="4" width="16" hidden="0" customWidth="1"/>
    <x:col min="5" max="5" width="16" hidden="0" customWidth="1"/>
    <x:col min="6" max="6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1">
      <x:c r="A1" s="66" t="str">
        <x:v>Дата</x:v>
      </x:c>
      <x:c r="B1" s="66" t="str">
        <x:v>Категория</x:v>
      </x:c>
      <x:c r="C1" s="66" t="str">
        <x:v>Описание</x:v>
      </x:c>
      <x:c r="D1" s="66" t="str">
        <x:v>План (€)</x:v>
      </x:c>
      <x:c r="E1" s="66" t="str">
        <x:v>Оплачено (€)</x:v>
      </x:c>
      <x:c r="F1" s="66" t="str">
        <x:v>Остаток (€)</x:v>
      </x:c>
      <x:c r="G1" s="66" t="str">
        <x:v>Статус</x:v>
      </x:c>
      <x:c r="H1" s="66" t="str">
        <x:v>Срок оплаты</x:v>
      </x:c>
      <x:c r="I1" s="66" t="str">
        <x:v>Обязательно?</x:v>
      </x:c>
      <x:c r="J1" s="66" t="str">
        <x:v>Комментарий</x:v>
      </x:c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81"/>
      <x:c r="B2" s="68" t="str">
        <x:v>Проживание</x:v>
      </x:c>
      <x:c r="C2" s="68" t="str">
        <x:v>Вилла 16–22.09.2026</x:v>
      </x:c>
      <x:c r="D2" s="72" t="n">
        <x:v>5337</x:v>
      </x:c>
      <x:c r="E2" s="72" t="n">
        <x:v>0</x:v>
      </x:c>
      <x:c r="F2" s="72" t="n">
        <x:f>MAX(0,D2-E2)</x:f>
        <x:v>5337</x:v>
      </x:c>
      <x:c r="G2" s="68" t="str">
        <x:v>Частично</x:v>
      </x:c>
      <x:c r="H2" s="81"/>
      <x:c r="I2" s="68" t="str">
        <x:v>Да</x:v>
      </x:c>
      <x:c r="J2" s="68" t="str">
        <x:v>Фактическая стоимость виллы</x:v>
      </x:c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81"/>
      <x:c r="B3" s="68" t="str">
        <x:v>Логистика</x:v>
      </x:c>
      <x:c r="C3" s="68" t="str">
        <x:v>Трансфер из Барселоны</x:v>
      </x:c>
      <x:c r="D3" s="72" t="n">
        <x:v>700</x:v>
      </x:c>
      <x:c r="E3" s="72" t="n">
        <x:v>0</x:v>
      </x:c>
      <x:c r="F3" s="72" t="n">
        <x:f>MAX(0,D3-E3)</x:f>
        <x:v>700</x:v>
      </x:c>
      <x:c r="G3" s="68" t="str">
        <x:v>Ожидаю</x:v>
      </x:c>
      <x:c r="H3" s="81"/>
      <x:c r="I3" s="68" t="str">
        <x:v>Да</x:v>
      </x:c>
      <x:c r="J3" s="68" t="str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81"/>
      <x:c r="B4" s="68" t="str">
        <x:v>Активности</x:v>
      </x:c>
      <x:c r="C4" s="68" t="str">
        <x:v>Экскурсия в Барселону</x:v>
      </x:c>
      <x:c r="D4" s="72" t="n">
        <x:v>1200</x:v>
      </x:c>
      <x:c r="E4" s="72" t="n">
        <x:v>0</x:v>
      </x:c>
      <x:c r="F4" s="72" t="n">
        <x:f>MAX(0,D4-E4)</x:f>
        <x:v>1200</x:v>
      </x:c>
      <x:c r="G4" s="68" t="str">
        <x:v>Ожидаю</x:v>
      </x:c>
      <x:c r="H4" s="81"/>
      <x:c r="I4" s="68" t="str">
        <x:v>Да</x:v>
      </x:c>
      <x:c r="J4" s="68" t="str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81"/>
      <x:c r="B5" s="68" t="str">
        <x:v>Контент</x:v>
      </x:c>
      <x:c r="C5" s="68" t="str">
        <x:v>Фотосессия</x:v>
      </x:c>
      <x:c r="D5" s="72" t="n">
        <x:v>500</x:v>
      </x:c>
      <x:c r="E5" s="72" t="n">
        <x:v>0</x:v>
      </x:c>
      <x:c r="F5" s="72" t="n">
        <x:f>MAX(0,D5-E5)</x:f>
        <x:v>500</x:v>
      </x:c>
      <x:c r="G5" s="68" t="str">
        <x:v>Ожидаю</x:v>
      </x:c>
      <x:c r="H5" s="81"/>
      <x:c r="I5" s="68" t="str">
        <x:v>Да</x:v>
      </x:c>
      <x:c r="J5" s="68" t="str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81"/>
      <x:c r="B6" s="68" t="str">
        <x:v>Питание</x:v>
      </x:c>
      <x:c r="C6" s="68" t="str">
        <x:v>Завтраки</x:v>
      </x:c>
      <x:c r="D6" s="72" t="n">
        <x:v>1275</x:v>
      </x:c>
      <x:c r="E6" s="72" t="n">
        <x:v>0</x:v>
      </x:c>
      <x:c r="F6" s="72" t="n">
        <x:f>MAX(0,D6-E6)</x:f>
        <x:v>1275</x:v>
      </x:c>
      <x:c r="G6" s="68" t="str">
        <x:v>Ожидаю</x:v>
      </x:c>
      <x:c r="H6" s="81"/>
      <x:c r="I6" s="68" t="str">
        <x:v>Да</x:v>
      </x:c>
      <x:c r="J6" s="68" t="str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81"/>
      <x:c r="B7" s="68" t="str">
        <x:v>Активности</x:v>
      </x:c>
      <x:c r="C7" s="68" t="str">
        <x:v>Экскурсия на ферму</x:v>
      </x:c>
      <x:c r="D7" s="72" t="n">
        <x:v>1100</x:v>
      </x:c>
      <x:c r="E7" s="72" t="n">
        <x:v>0</x:v>
      </x:c>
      <x:c r="F7" s="72" t="n">
        <x:f>MAX(0,D7-E7)</x:f>
        <x:v>1100</x:v>
      </x:c>
      <x:c r="G7" s="68" t="str">
        <x:v>Ожидаю</x:v>
      </x:c>
      <x:c r="H7" s="81"/>
      <x:c r="I7" s="68" t="str">
        <x:v>Да</x:v>
      </x:c>
      <x:c r="J7" s="68" t="str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81"/>
      <x:c r="B8" s="68" t="str">
        <x:v>Питание</x:v>
      </x:c>
      <x:c r="C8" s="68" t="str">
        <x:v>Кейтеринг: приветственный и прощальный ланч</x:v>
      </x:c>
      <x:c r="D8" s="72" t="n">
        <x:f>Inputs!$B$13+Inputs!$B$14*(Inputs!$B$8+Inputs!$B$11)</x:f>
        <x:v>725</x:v>
      </x:c>
      <x:c r="E8" s="72" t="n">
        <x:v>0</x:v>
      </x:c>
      <x:c r="F8" s="72" t="n">
        <x:f>MAX(0,D8-E8)</x:f>
        <x:v>725</x:v>
      </x:c>
      <x:c r="G8" s="68" t="str">
        <x:v>Ожидаю</x:v>
      </x:c>
      <x:c r="H8" s="81"/>
      <x:c r="I8" s="68" t="str">
        <x:v>Да</x:v>
      </x:c>
      <x:c r="J8" s="68" t="str">
        <x:v>Формула: фикс + 35€ × (участницы + команда)</x:v>
      </x:c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81"/>
      <x:c r="B9" s="68" t="str">
        <x:v>Логистика</x:v>
      </x:c>
      <x:c r="C9" s="68" t="str">
        <x:v>Такси по городу</x:v>
      </x:c>
      <x:c r="D9" s="72" t="n">
        <x:v>200</x:v>
      </x:c>
      <x:c r="E9" s="72" t="n">
        <x:v>0</x:v>
      </x:c>
      <x:c r="F9" s="72" t="n">
        <x:f>MAX(0,D9-E9)</x:f>
        <x:v>200</x:v>
      </x:c>
      <x:c r="G9" s="67" t="str">
        <x:v>Ожидаю</x:v>
      </x:c>
      <x:c r="H9" s="81"/>
      <x:c r="I9" s="68" t="str">
        <x:v>Нет</x:v>
      </x:c>
      <x:c r="J9" s="68" t="str">
        <x:v>Резерв на локальные поездки</x:v>
      </x:c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81"/>
      <x:c r="B10" s="68" t="str">
        <x:v>Перелёты</x:v>
      </x:c>
      <x:c r="C10" s="68" t="str">
        <x:v>Билеты Наталии и сына</x:v>
      </x:c>
      <x:c r="D10" s="72" t="n">
        <x:v>500</x:v>
      </x:c>
      <x:c r="E10" s="72" t="n">
        <x:v>0</x:v>
      </x:c>
      <x:c r="F10" s="72" t="n">
        <x:f>MAX(0,D10-E10)</x:f>
        <x:v>500</x:v>
      </x:c>
      <x:c r="G10" s="68" t="str">
        <x:v>Ожидаю</x:v>
      </x:c>
      <x:c r="H10" s="81"/>
      <x:c r="I10" s="68" t="str">
        <x:v>Да</x:v>
      </x:c>
      <x:c r="J10" s="68" t="str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81"/>
      <x:c r="B11" s="68" t="str">
        <x:v>Подарки</x:v>
      </x:c>
      <x:c r="C11" s="68" t="str">
        <x:v>Футболки / подарочный мерч</x:v>
      </x:c>
      <x:c r="D11" s="72" t="n">
        <x:v>520</x:v>
      </x:c>
      <x:c r="E11" s="72" t="n">
        <x:v>0</x:v>
      </x:c>
      <x:c r="F11" s="83" t="n">
        <x:f>MAX(0,D11-E11)</x:f>
        <x:v>520</x:v>
      </x:c>
      <x:c r="G11" s="68" t="str">
        <x:v>Ожидаю</x:v>
      </x:c>
      <x:c r="H11" s="81"/>
      <x:c r="I11" s="68" t="str">
        <x:v>Да</x:v>
      </x:c>
      <x:c r="J11" s="68" t="str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81"/>
      <x:c r="B12" s="68" t="str">
        <x:v>Страхование</x:v>
      </x:c>
      <x:c r="C12" s="68" t="str">
        <x:v>Reiseveranstalter-Haftpflicht TAS/R+V</x:v>
      </x:c>
      <x:c r="D12" s="72" t="n">
        <x:v>301.07</x:v>
      </x:c>
      <x:c r="E12" s="72" t="n">
        <x:v>0</x:v>
      </x:c>
      <x:c r="F12" s="72" t="n">
        <x:f>MAX(0,D12-E12)</x:f>
        <x:v>301.07</x:v>
      </x:c>
      <x:c r="G12" s="68" t="str">
        <x:v>Ожидаю</x:v>
      </x:c>
      <x:c r="H12" s="81" t="n">
        <x:v>46209</x:v>
      </x:c>
      <x:c r="I12" s="68" t="str">
        <x:v>Да</x:v>
      </x:c>
      <x:c r="J12" s="68" t="str">
        <x:v>Списание по SEPA</x:v>
      </x:c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81"/>
      <x:c r="B13" s="68" t="str">
        <x:v>Страхование</x:v>
      </x:c>
      <x:c r="C13" s="68" t="str">
        <x:v>Kundengeldabsicherung R+V</x:v>
      </x:c>
      <x:c r="D13" s="72" t="n">
        <x:v>400</x:v>
      </x:c>
      <x:c r="E13" s="72" t="n">
        <x:v>0</x:v>
      </x:c>
      <x:c r="F13" s="72" t="n">
        <x:f>MAX(0,D13-E13)</x:f>
        <x:v>400</x:v>
      </x:c>
      <x:c r="G13" s="68" t="str">
        <x:v>Ожидаю</x:v>
      </x:c>
      <x:c r="H13" s="81" t="n">
        <x:v>46204</x:v>
      </x:c>
      <x:c r="I13" s="68" t="str">
        <x:v>Да</x:v>
      </x:c>
      <x:c r="J13" s="68" t="str">
        <x:v>Годовая премия</x:v>
      </x:c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81"/>
      <x:c r="B14" s="68" t="str">
        <x:v>Маркетинг</x:v>
      </x:c>
      <x:c r="C14" s="68" t="str">
        <x:v>Instagram реклама</x:v>
      </x:c>
      <x:c r="D14" s="72" t="n">
        <x:v>0</x:v>
      </x:c>
      <x:c r="E14" s="72" t="n">
        <x:v>0</x:v>
      </x:c>
      <x:c r="F14" s="72" t="n">
        <x:f>MAX(0,D14-E14)</x:f>
        <x:v>0</x:v>
      </x:c>
      <x:c r="G14" s="68" t="str">
        <x:v>Ожидаю</x:v>
      </x:c>
      <x:c r="H14" s="81"/>
      <x:c r="I14" s="68" t="str">
        <x:v>Нет</x:v>
      </x:c>
      <x:c r="J14" s="68" t="str">
        <x:v>Можно добавить после запуска рекламы</x:v>
      </x:c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81"/>
      <x:c r="B15" s="68" t="str">
        <x:v>Резерв</x:v>
      </x:c>
      <x:c r="C15" s="68" t="str">
        <x:v>Непредвиденные расходы</x:v>
      </x:c>
      <x:c r="D15" s="72" t="n">
        <x:v>500</x:v>
      </x:c>
      <x:c r="E15" s="72" t="n">
        <x:v>0</x:v>
      </x:c>
      <x:c r="F15" s="72" t="n">
        <x:f>MAX(0,D15-E15)</x:f>
        <x:v>500</x:v>
      </x:c>
      <x:c r="G15" s="68" t="str">
        <x:v>Ожидаю</x:v>
      </x:c>
      <x:c r="H15" s="81"/>
      <x:c r="I15" s="68" t="str">
        <x:v>Нет</x:v>
      </x:c>
      <x:c r="J15" s="68" t="str">
        <x:v>Защитный резерв</x:v>
      </x:c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81"/>
      <x:c r="B16" s="68"/>
      <x:c r="C16" s="68"/>
      <x:c r="D16" s="72"/>
      <x:c r="E16" s="72"/>
      <x:c r="F16" s="72" t="str">
        <x:f>IF(D16="","",MAX(0,D16-E16))</x:f>
      </x:c>
      <x:c r="G16" s="68"/>
      <x:c r="H16" s="81"/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81"/>
      <x:c r="B17" s="68"/>
      <x:c r="C17" s="68"/>
      <x:c r="D17" s="72"/>
      <x:c r="E17" s="72"/>
      <x:c r="F17" s="72" t="str">
        <x:f>IF(D17="","",MAX(0,D17-E17))</x:f>
      </x:c>
      <x:c r="G17" s="68"/>
      <x:c r="H17" s="81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81"/>
      <x:c r="B18" s="68"/>
      <x:c r="C18" s="68"/>
      <x:c r="D18" s="72"/>
      <x:c r="E18" s="72"/>
      <x:c r="F18" s="72" t="str">
        <x:f>IF(D18="","",MAX(0,D18-E18))</x:f>
      </x:c>
      <x:c r="G18" s="68"/>
      <x:c r="H18" s="81"/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81"/>
      <x:c r="B19" s="68"/>
      <x:c r="C19" s="68"/>
      <x:c r="D19" s="72"/>
      <x:c r="E19" s="72"/>
      <x:c r="F19" s="72" t="str">
        <x:f>IF(D19="","",MAX(0,D19-E19))</x:f>
      </x:c>
      <x:c r="G19" s="68"/>
      <x:c r="H19" s="81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 ht="15.75" customHeight="1">
      <x:c r="A20" s="81"/>
      <x:c r="B20" s="68"/>
      <x:c r="C20" s="68"/>
      <x:c r="D20" s="72"/>
      <x:c r="E20" s="72"/>
      <x:c r="F20" s="72" t="str">
        <x:f>IF(D20="","",MAX(0,D20-E20))</x:f>
      </x:c>
      <x:c r="G20" s="68"/>
      <x:c r="H20" s="81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 ht="15.75" customHeight="1">
      <x:c r="A21" s="81"/>
      <x:c r="B21" s="68"/>
      <x:c r="C21" s="68"/>
      <x:c r="D21" s="72"/>
      <x:c r="E21" s="72"/>
      <x:c r="F21" s="72" t="str">
        <x:f>IF(D21="","",MAX(0,D21-E21))</x:f>
      </x:c>
      <x:c r="G21" s="68"/>
      <x:c r="H21" s="81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 ht="15.75" customHeight="1">
      <x:c r="A22" s="81"/>
      <x:c r="B22" s="68"/>
      <x:c r="C22" s="68"/>
      <x:c r="D22" s="72"/>
      <x:c r="E22" s="72"/>
      <x:c r="F22" s="72" t="str">
        <x:f>IF(D22="","",MAX(0,D22-E22))</x:f>
      </x:c>
      <x:c r="G22" s="68"/>
      <x:c r="H22" s="81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 ht="15.75" customHeight="1">
      <x:c r="A23" s="81"/>
      <x:c r="B23" s="68"/>
      <x:c r="C23" s="68"/>
      <x:c r="D23" s="72"/>
      <x:c r="E23" s="72"/>
      <x:c r="F23" s="72" t="str">
        <x:f>IF(D23="","",MAX(0,D23-E23))</x:f>
      </x:c>
      <x:c r="G23" s="68"/>
      <x:c r="H23" s="81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 ht="15.75" customHeight="1">
      <x:c r="A24" s="81"/>
      <x:c r="B24" s="68"/>
      <x:c r="C24" s="68"/>
      <x:c r="D24" s="72"/>
      <x:c r="E24" s="72"/>
      <x:c r="F24" s="72" t="str">
        <x:f>IF(D24="","",MAX(0,D24-E24))</x:f>
      </x:c>
      <x:c r="G24" s="68"/>
      <x:c r="H24" s="81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 ht="15.75" customHeight="1">
      <x:c r="A25" s="81"/>
      <x:c r="B25" s="68"/>
      <x:c r="C25" s="68"/>
      <x:c r="D25" s="72"/>
      <x:c r="E25" s="72"/>
      <x:c r="F25" s="72" t="str">
        <x:f>IF(D25="","",MAX(0,D25-E25))</x:f>
      </x:c>
      <x:c r="G25" s="68"/>
      <x:c r="H25" s="81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 ht="15.75" customHeight="1">
      <x:c r="A26" s="81"/>
      <x:c r="B26" s="68"/>
      <x:c r="C26" s="68"/>
      <x:c r="D26" s="72"/>
      <x:c r="E26" s="72"/>
      <x:c r="F26" s="72" t="str">
        <x:f>IF(D26="","",MAX(0,D26-E26))</x:f>
      </x:c>
      <x:c r="G26" s="68"/>
      <x:c r="H26" s="81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 ht="15.75" customHeight="1">
      <x:c r="A27" s="81"/>
      <x:c r="B27" s="68"/>
      <x:c r="C27" s="68"/>
      <x:c r="D27" s="72"/>
      <x:c r="E27" s="72"/>
      <x:c r="F27" s="72" t="str">
        <x:f>IF(D27="","",MAX(0,D27-E27))</x:f>
      </x:c>
      <x:c r="G27" s="68"/>
      <x:c r="H27" s="81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 ht="15.75" customHeight="1">
      <x:c r="A28" s="81"/>
      <x:c r="B28" s="68"/>
      <x:c r="C28" s="68"/>
      <x:c r="D28" s="72"/>
      <x:c r="E28" s="72"/>
      <x:c r="F28" s="72" t="str">
        <x:f>IF(D28="","",MAX(0,D28-E28))</x:f>
      </x:c>
      <x:c r="G28" s="68"/>
      <x:c r="H28" s="81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 ht="15.75" customHeight="1">
      <x:c r="A29" s="81"/>
      <x:c r="B29" s="68"/>
      <x:c r="C29" s="68"/>
      <x:c r="D29" s="72"/>
      <x:c r="E29" s="72"/>
      <x:c r="F29" s="72" t="str">
        <x:f>IF(D29="","",MAX(0,D29-E29))</x:f>
      </x:c>
      <x:c r="G29" s="68"/>
      <x:c r="H29" s="81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 ht="15.75" customHeight="1">
      <x:c r="A30" s="81"/>
      <x:c r="B30" s="68"/>
      <x:c r="C30" s="68"/>
      <x:c r="D30" s="72"/>
      <x:c r="E30" s="72"/>
      <x:c r="F30" s="72" t="str">
        <x:f>IF(D30="","",MAX(0,D30-E30))</x:f>
      </x:c>
      <x:c r="G30" s="68"/>
      <x:c r="H30" s="81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 ht="15.75" customHeight="1">
      <x:c r="A31" s="81"/>
      <x:c r="B31" s="68"/>
      <x:c r="C31" s="68"/>
      <x:c r="D31" s="72"/>
      <x:c r="E31" s="72"/>
      <x:c r="F31" s="72" t="str">
        <x:f>IF(D31="","",MAX(0,D31-E31))</x:f>
      </x:c>
      <x:c r="G31" s="68"/>
      <x:c r="H31" s="81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 ht="15.75" customHeight="1">
      <x:c r="A32" s="81"/>
      <x:c r="B32" s="68"/>
      <x:c r="C32" s="68"/>
      <x:c r="D32" s="72"/>
      <x:c r="E32" s="72"/>
      <x:c r="F32" s="72" t="str">
        <x:f>IF(D32="","",MAX(0,D32-E32))</x:f>
      </x:c>
      <x:c r="G32" s="68"/>
      <x:c r="H32" s="81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 ht="15.75" customHeight="1">
      <x:c r="A33" s="81"/>
      <x:c r="B33" s="68"/>
      <x:c r="C33" s="68"/>
      <x:c r="D33" s="72"/>
      <x:c r="E33" s="72"/>
      <x:c r="F33" s="72" t="str">
        <x:f>IF(D33="","",MAX(0,D33-E33))</x:f>
      </x:c>
      <x:c r="G33" s="68"/>
      <x:c r="H33" s="81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 ht="15.75" customHeight="1">
      <x:c r="A34" s="81"/>
      <x:c r="B34" s="68"/>
      <x:c r="C34" s="68"/>
      <x:c r="D34" s="72"/>
      <x:c r="E34" s="72"/>
      <x:c r="F34" s="72" t="str">
        <x:f>IF(D34="","",MAX(0,D34-E34))</x:f>
      </x:c>
      <x:c r="G34" s="68"/>
      <x:c r="H34" s="81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 ht="15.75" customHeight="1">
      <x:c r="A35" s="81"/>
      <x:c r="B35" s="68"/>
      <x:c r="C35" s="68"/>
      <x:c r="D35" s="72"/>
      <x:c r="E35" s="72"/>
      <x:c r="F35" s="72" t="str">
        <x:f>IF(D35="","",MAX(0,D35-E35))</x:f>
      </x:c>
      <x:c r="G35" s="68"/>
      <x:c r="H35" s="81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 ht="15.75" customHeight="1">
      <x:c r="A36" s="81"/>
      <x:c r="B36" s="68"/>
      <x:c r="C36" s="68"/>
      <x:c r="D36" s="72"/>
      <x:c r="E36" s="72"/>
      <x:c r="F36" s="72" t="str">
        <x:f>IF(D36="","",MAX(0,D36-E36))</x:f>
      </x:c>
      <x:c r="G36" s="68"/>
      <x:c r="H36" s="81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 ht="15.75" customHeight="1">
      <x:c r="A37" s="81"/>
      <x:c r="B37" s="68"/>
      <x:c r="C37" s="68"/>
      <x:c r="D37" s="72"/>
      <x:c r="E37" s="72"/>
      <x:c r="F37" s="72" t="str">
        <x:f>IF(D37="","",MAX(0,D37-E37))</x:f>
      </x:c>
      <x:c r="G37" s="68"/>
      <x:c r="H37" s="81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 ht="15.75" customHeight="1">
      <x:c r="A38" s="81"/>
      <x:c r="B38" s="68"/>
      <x:c r="C38" s="68"/>
      <x:c r="D38" s="72"/>
      <x:c r="E38" s="72"/>
      <x:c r="F38" s="72" t="str">
        <x:f>IF(D38="","",MAX(0,D38-E38))</x:f>
      </x:c>
      <x:c r="G38" s="68"/>
      <x:c r="H38" s="81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 ht="15.75" customHeight="1">
      <x:c r="A39" s="81"/>
      <x:c r="B39" s="68"/>
      <x:c r="C39" s="68"/>
      <x:c r="D39" s="72"/>
      <x:c r="E39" s="72"/>
      <x:c r="F39" s="72" t="str">
        <x:f>IF(D39="","",MAX(0,D39-E39))</x:f>
      </x:c>
      <x:c r="G39" s="68"/>
      <x:c r="H39" s="81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 ht="15.75" customHeight="1">
      <x:c r="A40" s="81"/>
      <x:c r="B40" s="68"/>
      <x:c r="C40" s="68"/>
      <x:c r="D40" s="72"/>
      <x:c r="E40" s="72"/>
      <x:c r="F40" s="72" t="str">
        <x:f>IF(D40="","",MAX(0,D40-E40))</x:f>
      </x:c>
      <x:c r="G40" s="68"/>
      <x:c r="H40" s="81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 ht="15.75" customHeight="1">
      <x:c r="A41" s="81"/>
      <x:c r="B41" s="68"/>
      <x:c r="C41" s="68"/>
      <x:c r="D41" s="72"/>
      <x:c r="E41" s="72"/>
      <x:c r="F41" s="72" t="str">
        <x:f>IF(D41="","",MAX(0,D41-E41))</x:f>
      </x:c>
      <x:c r="G41" s="68"/>
      <x:c r="H41" s="81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 ht="15.75" customHeight="1">
      <x:c r="A42" s="81"/>
      <x:c r="B42" s="68"/>
      <x:c r="C42" s="68"/>
      <x:c r="D42" s="72"/>
      <x:c r="E42" s="72"/>
      <x:c r="F42" s="72" t="str">
        <x:f>IF(D42="","",MAX(0,D42-E42))</x:f>
      </x:c>
      <x:c r="G42" s="68"/>
      <x:c r="H42" s="81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 ht="15.75" customHeight="1">
      <x:c r="A43" s="81"/>
      <x:c r="B43" s="68"/>
      <x:c r="C43" s="68"/>
      <x:c r="D43" s="72"/>
      <x:c r="E43" s="72"/>
      <x:c r="F43" s="72" t="str">
        <x:f>IF(D43="","",MAX(0,D43-E43))</x:f>
      </x:c>
      <x:c r="G43" s="68"/>
      <x:c r="H43" s="81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 ht="15.75" customHeight="1">
      <x:c r="A44" s="81"/>
      <x:c r="B44" s="68"/>
      <x:c r="C44" s="68"/>
      <x:c r="D44" s="72"/>
      <x:c r="E44" s="72"/>
      <x:c r="F44" s="72" t="str">
        <x:f>IF(D44="","",MAX(0,D44-E44))</x:f>
      </x:c>
      <x:c r="G44" s="68"/>
      <x:c r="H44" s="81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 ht="15.75" customHeight="1">
      <x:c r="A45" s="81"/>
      <x:c r="B45" s="68"/>
      <x:c r="C45" s="68"/>
      <x:c r="D45" s="72"/>
      <x:c r="E45" s="72"/>
      <x:c r="F45" s="72" t="str">
        <x:f>IF(D45="","",MAX(0,D45-E45))</x:f>
      </x:c>
      <x:c r="G45" s="68"/>
      <x:c r="H45" s="81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 ht="15.75" customHeight="1">
      <x:c r="A46" s="81"/>
      <x:c r="B46" s="68"/>
      <x:c r="C46" s="68"/>
      <x:c r="D46" s="72"/>
      <x:c r="E46" s="72"/>
      <x:c r="F46" s="72" t="str">
        <x:f>IF(D46="","",MAX(0,D46-E46))</x:f>
      </x:c>
      <x:c r="G46" s="68"/>
      <x:c r="H46" s="81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 ht="15.75" customHeight="1">
      <x:c r="A47" s="81"/>
      <x:c r="B47" s="68"/>
      <x:c r="C47" s="68"/>
      <x:c r="D47" s="72"/>
      <x:c r="E47" s="72"/>
      <x:c r="F47" s="72" t="str">
        <x:f>IF(D47="","",MAX(0,D47-E47))</x:f>
      </x:c>
      <x:c r="G47" s="68"/>
      <x:c r="H47" s="81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 ht="15.75" customHeight="1">
      <x:c r="A48" s="81"/>
      <x:c r="B48" s="68"/>
      <x:c r="C48" s="68"/>
      <x:c r="D48" s="72"/>
      <x:c r="E48" s="72"/>
      <x:c r="F48" s="72" t="str">
        <x:f>IF(D48="","",MAX(0,D48-E48))</x:f>
      </x:c>
      <x:c r="G48" s="68"/>
      <x:c r="H48" s="81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 ht="15.75" customHeight="1">
      <x:c r="A49" s="81"/>
      <x:c r="B49" s="68"/>
      <x:c r="C49" s="68"/>
      <x:c r="D49" s="72"/>
      <x:c r="E49" s="72"/>
      <x:c r="F49" s="72" t="str">
        <x:f>IF(D49="","",MAX(0,D49-E49))</x:f>
      </x:c>
      <x:c r="G49" s="68"/>
      <x:c r="H49" s="81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 ht="15.75" customHeight="1">
      <x:c r="A50" s="81"/>
      <x:c r="B50" s="68"/>
      <x:c r="C50" s="68"/>
      <x:c r="D50" s="72"/>
      <x:c r="E50" s="72"/>
      <x:c r="F50" s="72" t="str">
        <x:f>IF(D50="","",MAX(0,D50-E50))</x:f>
      </x:c>
      <x:c r="G50" s="68"/>
      <x:c r="H50" s="81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 ht="15.75" customHeight="1">
      <x:c r="A51" s="81"/>
      <x:c r="B51" s="68"/>
      <x:c r="C51" s="68"/>
      <x:c r="D51" s="72"/>
      <x:c r="E51" s="72"/>
      <x:c r="F51" s="72" t="str">
        <x:f>IF(D51="","",MAX(0,D51-E51))</x:f>
      </x:c>
      <x:c r="G51" s="68"/>
      <x:c r="H51" s="81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 ht="15.75" customHeight="1">
      <x:c r="A52" s="81"/>
      <x:c r="B52" s="68"/>
      <x:c r="C52" s="68"/>
      <x:c r="D52" s="72"/>
      <x:c r="E52" s="72"/>
      <x:c r="F52" s="72" t="str">
        <x:f>IF(D52="","",MAX(0,D52-E52))</x:f>
      </x:c>
      <x:c r="G52" s="68"/>
      <x:c r="H52" s="81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 ht="15.75" customHeight="1">
      <x:c r="A53" s="81"/>
      <x:c r="B53" s="68"/>
      <x:c r="C53" s="68"/>
      <x:c r="D53" s="72"/>
      <x:c r="E53" s="72"/>
      <x:c r="F53" s="72" t="str">
        <x:f>IF(D53="","",MAX(0,D53-E53))</x:f>
      </x:c>
      <x:c r="G53" s="68"/>
      <x:c r="H53" s="81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 ht="15.75" customHeight="1">
      <x:c r="A54" s="81"/>
      <x:c r="B54" s="68"/>
      <x:c r="C54" s="68"/>
      <x:c r="D54" s="72"/>
      <x:c r="E54" s="72"/>
      <x:c r="F54" s="72" t="str">
        <x:f>IF(D54="","",MAX(0,D54-E54))</x:f>
      </x:c>
      <x:c r="G54" s="68"/>
      <x:c r="H54" s="81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 ht="15.75" customHeight="1">
      <x:c r="A55" s="81"/>
      <x:c r="B55" s="68"/>
      <x:c r="C55" s="68"/>
      <x:c r="D55" s="72"/>
      <x:c r="E55" s="72"/>
      <x:c r="F55" s="72" t="str">
        <x:f>IF(D55="","",MAX(0,D55-E55))</x:f>
      </x:c>
      <x:c r="G55" s="68"/>
      <x:c r="H55" s="81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 ht="15.75" customHeight="1">
      <x:c r="A56" s="81"/>
      <x:c r="B56" s="68"/>
      <x:c r="C56" s="68"/>
      <x:c r="D56" s="72"/>
      <x:c r="E56" s="72"/>
      <x:c r="F56" s="72" t="str">
        <x:f>IF(D56="","",MAX(0,D56-E56))</x:f>
      </x:c>
      <x:c r="G56" s="68"/>
      <x:c r="H56" s="81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 ht="15.75" customHeight="1">
      <x:c r="A57" s="81"/>
      <x:c r="B57" s="68"/>
      <x:c r="C57" s="68"/>
      <x:c r="D57" s="72"/>
      <x:c r="E57" s="72"/>
      <x:c r="F57" s="72" t="str">
        <x:f>IF(D57="","",MAX(0,D57-E57))</x:f>
      </x:c>
      <x:c r="G57" s="68"/>
      <x:c r="H57" s="81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 ht="15.75" customHeight="1">
      <x:c r="A58" s="81"/>
      <x:c r="B58" s="68"/>
      <x:c r="C58" s="68"/>
      <x:c r="D58" s="72"/>
      <x:c r="E58" s="72"/>
      <x:c r="F58" s="72" t="str">
        <x:f>IF(D58="","",MAX(0,D58-E58))</x:f>
      </x:c>
      <x:c r="G58" s="68"/>
      <x:c r="H58" s="81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 ht="15.75" customHeight="1">
      <x:c r="A59" s="81"/>
      <x:c r="B59" s="68"/>
      <x:c r="C59" s="68"/>
      <x:c r="D59" s="72"/>
      <x:c r="E59" s="72"/>
      <x:c r="F59" s="72" t="str">
        <x:f>IF(D59="","",MAX(0,D59-E59))</x:f>
      </x:c>
      <x:c r="G59" s="68"/>
      <x:c r="H59" s="81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 ht="15.75" customHeight="1">
      <x:c r="A60" s="81"/>
      <x:c r="B60" s="68"/>
      <x:c r="C60" s="68"/>
      <x:c r="D60" s="72"/>
      <x:c r="E60" s="72"/>
      <x:c r="F60" s="72" t="str">
        <x:f>IF(D60="","",MAX(0,D60-E60))</x:f>
      </x:c>
      <x:c r="G60" s="68"/>
      <x:c r="H60" s="81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 ht="15.75" customHeight="1">
      <x:c r="A61" s="81"/>
      <x:c r="B61" s="68"/>
      <x:c r="C61" s="68"/>
      <x:c r="D61" s="72"/>
      <x:c r="E61" s="72"/>
      <x:c r="F61" s="72" t="str">
        <x:f>IF(D61="","",MAX(0,D61-E61))</x:f>
      </x:c>
      <x:c r="G61" s="68"/>
      <x:c r="H61" s="81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 ht="15.75" customHeight="1">
      <x:c r="A62" s="81"/>
      <x:c r="B62" s="68"/>
      <x:c r="C62" s="68"/>
      <x:c r="D62" s="72"/>
      <x:c r="E62" s="72"/>
      <x:c r="F62" s="72" t="str">
        <x:f>IF(D62="","",MAX(0,D62-E62))</x:f>
      </x:c>
      <x:c r="G62" s="68"/>
      <x:c r="H62" s="81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 ht="15.75" customHeight="1">
      <x:c r="A63" s="81"/>
      <x:c r="B63" s="68"/>
      <x:c r="C63" s="68"/>
      <x:c r="D63" s="72"/>
      <x:c r="E63" s="72"/>
      <x:c r="F63" s="72" t="str">
        <x:f>IF(D63="","",MAX(0,D63-E63))</x:f>
      </x:c>
      <x:c r="G63" s="68"/>
      <x:c r="H63" s="81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 ht="15.75" customHeight="1">
      <x:c r="A64" s="81"/>
      <x:c r="B64" s="68"/>
      <x:c r="C64" s="68"/>
      <x:c r="D64" s="72"/>
      <x:c r="E64" s="72"/>
      <x:c r="F64" s="72" t="str">
        <x:f>IF(D64="","",MAX(0,D64-E64))</x:f>
      </x:c>
      <x:c r="G64" s="68"/>
      <x:c r="H64" s="81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 ht="15.75" customHeight="1">
      <x:c r="A65" s="81"/>
      <x:c r="B65" s="68"/>
      <x:c r="C65" s="68"/>
      <x:c r="D65" s="72"/>
      <x:c r="E65" s="72"/>
      <x:c r="F65" s="72" t="str">
        <x:f>IF(D65="","",MAX(0,D65-E65))</x:f>
      </x:c>
      <x:c r="G65" s="68"/>
      <x:c r="H65" s="81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 ht="15.75" customHeight="1">
      <x:c r="A66" s="81"/>
      <x:c r="B66" s="68"/>
      <x:c r="C66" s="68"/>
      <x:c r="D66" s="72"/>
      <x:c r="E66" s="72"/>
      <x:c r="F66" s="72" t="str">
        <x:f>IF(D66="","",MAX(0,D66-E66))</x:f>
      </x:c>
      <x:c r="G66" s="68"/>
      <x:c r="H66" s="81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 ht="15.75" customHeight="1">
      <x:c r="A67" s="81"/>
      <x:c r="B67" s="68"/>
      <x:c r="C67" s="68"/>
      <x:c r="D67" s="72"/>
      <x:c r="E67" s="72"/>
      <x:c r="F67" s="72" t="str">
        <x:f>IF(D67="","",MAX(0,D67-E67))</x:f>
      </x:c>
      <x:c r="G67" s="68"/>
      <x:c r="H67" s="81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 ht="15.75" customHeight="1">
      <x:c r="A68" s="81"/>
      <x:c r="B68" s="68"/>
      <x:c r="C68" s="68"/>
      <x:c r="D68" s="72"/>
      <x:c r="E68" s="72"/>
      <x:c r="F68" s="72" t="str">
        <x:f>IF(D68="","",MAX(0,D68-E68))</x:f>
      </x:c>
      <x:c r="G68" s="68"/>
      <x:c r="H68" s="81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 ht="15.75" customHeight="1">
      <x:c r="A69" s="81"/>
      <x:c r="B69" s="68"/>
      <x:c r="C69" s="68"/>
      <x:c r="D69" s="72"/>
      <x:c r="E69" s="72"/>
      <x:c r="F69" s="72" t="str">
        <x:f>IF(D69="","",MAX(0,D69-E69))</x:f>
      </x:c>
      <x:c r="G69" s="68"/>
      <x:c r="H69" s="81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 ht="15.75" customHeight="1">
      <x:c r="A70" s="81"/>
      <x:c r="B70" s="68"/>
      <x:c r="C70" s="68"/>
      <x:c r="D70" s="72"/>
      <x:c r="E70" s="72"/>
      <x:c r="F70" s="72" t="str">
        <x:f>IF(D70="","",MAX(0,D70-E70))</x:f>
      </x:c>
      <x:c r="G70" s="68"/>
      <x:c r="H70" s="81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 ht="15.75" customHeight="1">
      <x:c r="A71" s="81"/>
      <x:c r="B71" s="68"/>
      <x:c r="C71" s="68"/>
      <x:c r="D71" s="72"/>
      <x:c r="E71" s="72"/>
      <x:c r="F71" s="72" t="str">
        <x:f>IF(D71="","",MAX(0,D71-E71))</x:f>
      </x:c>
      <x:c r="G71" s="68"/>
      <x:c r="H71" s="81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 ht="15.75" customHeight="1">
      <x:c r="A72" s="81"/>
      <x:c r="B72" s="68"/>
      <x:c r="C72" s="68"/>
      <x:c r="D72" s="72"/>
      <x:c r="E72" s="72"/>
      <x:c r="F72" s="72" t="str">
        <x:f>IF(D72="","",MAX(0,D72-E72))</x:f>
      </x:c>
      <x:c r="G72" s="68"/>
      <x:c r="H72" s="81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 ht="15.75" customHeight="1">
      <x:c r="A73" s="81"/>
      <x:c r="B73" s="68"/>
      <x:c r="C73" s="68"/>
      <x:c r="D73" s="72"/>
      <x:c r="E73" s="72"/>
      <x:c r="F73" s="72" t="str">
        <x:f>IF(D73="","",MAX(0,D73-E73))</x:f>
      </x:c>
      <x:c r="G73" s="68"/>
      <x:c r="H73" s="81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 ht="15.75" customHeight="1">
      <x:c r="A74" s="81"/>
      <x:c r="B74" s="68"/>
      <x:c r="C74" s="68"/>
      <x:c r="D74" s="72"/>
      <x:c r="E74" s="72"/>
      <x:c r="F74" s="72" t="str">
        <x:f>IF(D74="","",MAX(0,D74-E74))</x:f>
      </x:c>
      <x:c r="G74" s="68"/>
      <x:c r="H74" s="81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 ht="15.75" customHeight="1">
      <x:c r="A75" s="81"/>
      <x:c r="B75" s="68"/>
      <x:c r="C75" s="68"/>
      <x:c r="D75" s="72"/>
      <x:c r="E75" s="72"/>
      <x:c r="F75" s="72" t="str">
        <x:f>IF(D75="","",MAX(0,D75-E75))</x:f>
      </x:c>
      <x:c r="G75" s="68"/>
      <x:c r="H75" s="81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 ht="15.75" customHeight="1">
      <x:c r="A76" s="81"/>
      <x:c r="B76" s="68"/>
      <x:c r="C76" s="68"/>
      <x:c r="D76" s="72"/>
      <x:c r="E76" s="72"/>
      <x:c r="F76" s="72" t="str">
        <x:f>IF(D76="","",MAX(0,D76-E76))</x:f>
      </x:c>
      <x:c r="G76" s="68"/>
      <x:c r="H76" s="81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 ht="15.75" customHeight="1">
      <x:c r="A77" s="81"/>
      <x:c r="B77" s="68"/>
      <x:c r="C77" s="68"/>
      <x:c r="D77" s="72"/>
      <x:c r="E77" s="72"/>
      <x:c r="F77" s="72" t="str">
        <x:f>IF(D77="","",MAX(0,D77-E77))</x:f>
      </x:c>
      <x:c r="G77" s="68"/>
      <x:c r="H77" s="81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 ht="15.75" customHeight="1">
      <x:c r="A78" s="81"/>
      <x:c r="B78" s="68"/>
      <x:c r="C78" s="68"/>
      <x:c r="D78" s="72"/>
      <x:c r="E78" s="72"/>
      <x:c r="F78" s="72" t="str">
        <x:f>IF(D78="","",MAX(0,D78-E78))</x:f>
      </x:c>
      <x:c r="G78" s="68"/>
      <x:c r="H78" s="81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 ht="15.75" customHeight="1">
      <x:c r="A79" s="81"/>
      <x:c r="B79" s="68"/>
      <x:c r="C79" s="68"/>
      <x:c r="D79" s="72"/>
      <x:c r="E79" s="72"/>
      <x:c r="F79" s="72" t="str">
        <x:f>IF(D79="","",MAX(0,D79-E79))</x:f>
      </x:c>
      <x:c r="G79" s="68"/>
      <x:c r="H79" s="81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 ht="15.75" customHeight="1">
      <x:c r="A80" s="81"/>
      <x:c r="B80" s="68"/>
      <x:c r="C80" s="68"/>
      <x:c r="D80" s="72"/>
      <x:c r="E80" s="72"/>
      <x:c r="F80" s="72" t="str">
        <x:f>IF(D80="","",MAX(0,D80-E80))</x:f>
      </x:c>
      <x:c r="G80" s="68"/>
      <x:c r="H80" s="81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 ht="15.75" customHeight="1">
      <x:c r="A81" s="81"/>
      <x:c r="B81" s="68"/>
      <x:c r="C81" s="68"/>
      <x:c r="D81" s="72"/>
      <x:c r="E81" s="72"/>
      <x:c r="F81" s="72" t="str">
        <x:f>IF(D81="","",MAX(0,D81-E81))</x:f>
      </x:c>
      <x:c r="G81" s="68"/>
      <x:c r="H81" s="81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 ht="15.75" customHeight="1">
      <x:c r="A82" s="81"/>
      <x:c r="B82" s="68"/>
      <x:c r="C82" s="68"/>
      <x:c r="D82" s="72"/>
      <x:c r="E82" s="72"/>
      <x:c r="F82" s="72" t="str">
        <x:f>IF(D82="","",MAX(0,D82-E82))</x:f>
      </x:c>
      <x:c r="G82" s="68"/>
      <x:c r="H82" s="81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 ht="15.75" customHeight="1">
      <x:c r="A83" s="81"/>
      <x:c r="B83" s="68"/>
      <x:c r="C83" s="68"/>
      <x:c r="D83" s="72"/>
      <x:c r="E83" s="72"/>
      <x:c r="F83" s="72" t="str">
        <x:f>IF(D83="","",MAX(0,D83-E83))</x:f>
      </x:c>
      <x:c r="G83" s="68"/>
      <x:c r="H83" s="81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 ht="15.75" customHeight="1">
      <x:c r="A84" s="81"/>
      <x:c r="B84" s="68"/>
      <x:c r="C84" s="68"/>
      <x:c r="D84" s="72"/>
      <x:c r="E84" s="72"/>
      <x:c r="F84" s="72" t="str">
        <x:f>IF(D84="","",MAX(0,D84-E84))</x:f>
      </x:c>
      <x:c r="G84" s="68"/>
      <x:c r="H84" s="81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 ht="15.75" customHeight="1">
      <x:c r="A85" s="81"/>
      <x:c r="B85" s="68"/>
      <x:c r="C85" s="68"/>
      <x:c r="D85" s="72"/>
      <x:c r="E85" s="72"/>
      <x:c r="F85" s="72" t="str">
        <x:f>IF(D85="","",MAX(0,D85-E85))</x:f>
      </x:c>
      <x:c r="G85" s="68"/>
      <x:c r="H85" s="81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 ht="15.75" customHeight="1">
      <x:c r="A86" s="81"/>
      <x:c r="B86" s="68"/>
      <x:c r="C86" s="68"/>
      <x:c r="D86" s="72"/>
      <x:c r="E86" s="72"/>
      <x:c r="F86" s="72" t="str">
        <x:f>IF(D86="","",MAX(0,D86-E86))</x:f>
      </x:c>
      <x:c r="G86" s="68"/>
      <x:c r="H86" s="81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 ht="15.75" customHeight="1">
      <x:c r="A87" s="81"/>
      <x:c r="B87" s="68"/>
      <x:c r="C87" s="68"/>
      <x:c r="D87" s="72"/>
      <x:c r="E87" s="72"/>
      <x:c r="F87" s="72" t="str">
        <x:f>IF(D87="","",MAX(0,D87-E87))</x:f>
      </x:c>
      <x:c r="G87" s="68"/>
      <x:c r="H87" s="81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 ht="15.75" customHeight="1">
      <x:c r="A88" s="81"/>
      <x:c r="B88" s="68"/>
      <x:c r="C88" s="68"/>
      <x:c r="D88" s="72"/>
      <x:c r="E88" s="72"/>
      <x:c r="F88" s="72" t="str">
        <x:f>IF(D88="","",MAX(0,D88-E88))</x:f>
      </x:c>
      <x:c r="G88" s="68"/>
      <x:c r="H88" s="81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 ht="15.75" customHeight="1">
      <x:c r="A89" s="81"/>
      <x:c r="B89" s="68"/>
      <x:c r="C89" s="68"/>
      <x:c r="D89" s="72"/>
      <x:c r="E89" s="72"/>
      <x:c r="F89" s="72" t="str">
        <x:f>IF(D89="","",MAX(0,D89-E89))</x:f>
      </x:c>
      <x:c r="G89" s="68"/>
      <x:c r="H89" s="81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 ht="15.75" customHeight="1">
      <x:c r="A90" s="81"/>
      <x:c r="B90" s="68"/>
      <x:c r="C90" s="68"/>
      <x:c r="D90" s="72"/>
      <x:c r="E90" s="72"/>
      <x:c r="F90" s="72" t="str">
        <x:f>IF(D90="","",MAX(0,D90-E90))</x:f>
      </x:c>
      <x:c r="G90" s="68"/>
      <x:c r="H90" s="81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 ht="15.75" customHeight="1">
      <x:c r="A91" s="81"/>
      <x:c r="B91" s="68"/>
      <x:c r="C91" s="68"/>
      <x:c r="D91" s="72"/>
      <x:c r="E91" s="72"/>
      <x:c r="F91" s="72" t="str">
        <x:f>IF(D91="","",MAX(0,D91-E91))</x:f>
      </x:c>
      <x:c r="G91" s="68"/>
      <x:c r="H91" s="81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 ht="15.75" customHeight="1">
      <x:c r="A92" s="81"/>
      <x:c r="B92" s="68"/>
      <x:c r="C92" s="68"/>
      <x:c r="D92" s="72"/>
      <x:c r="E92" s="72"/>
      <x:c r="F92" s="72" t="str">
        <x:f>IF(D92="","",MAX(0,D92-E92))</x:f>
      </x:c>
      <x:c r="G92" s="68"/>
      <x:c r="H92" s="81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 ht="15.75" customHeight="1">
      <x:c r="A93" s="81"/>
      <x:c r="B93" s="68"/>
      <x:c r="C93" s="68"/>
      <x:c r="D93" s="72"/>
      <x:c r="E93" s="72"/>
      <x:c r="F93" s="72" t="str">
        <x:f>IF(D93="","",MAX(0,D93-E93))</x:f>
      </x:c>
      <x:c r="G93" s="68"/>
      <x:c r="H93" s="81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 ht="15.75" customHeight="1">
      <x:c r="A94" s="81"/>
      <x:c r="B94" s="68"/>
      <x:c r="C94" s="68"/>
      <x:c r="D94" s="72"/>
      <x:c r="E94" s="72"/>
      <x:c r="F94" s="72" t="str">
        <x:f>IF(D94="","",MAX(0,D94-E94))</x:f>
      </x:c>
      <x:c r="G94" s="68"/>
      <x:c r="H94" s="81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 ht="15.75" customHeight="1">
      <x:c r="A95" s="81"/>
      <x:c r="B95" s="68"/>
      <x:c r="C95" s="68"/>
      <x:c r="D95" s="72"/>
      <x:c r="E95" s="72"/>
      <x:c r="F95" s="72" t="str">
        <x:f>IF(D95="","",MAX(0,D95-E95))</x:f>
      </x:c>
      <x:c r="G95" s="68"/>
      <x:c r="H95" s="81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 ht="15.75" customHeight="1">
      <x:c r="A96" s="81"/>
      <x:c r="B96" s="68"/>
      <x:c r="C96" s="68"/>
      <x:c r="D96" s="72"/>
      <x:c r="E96" s="72"/>
      <x:c r="F96" s="72" t="str">
        <x:f>IF(D96="","",MAX(0,D96-E96))</x:f>
      </x:c>
      <x:c r="G96" s="68"/>
      <x:c r="H96" s="81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 ht="15.75" customHeight="1">
      <x:c r="A97" s="81"/>
      <x:c r="B97" s="68"/>
      <x:c r="C97" s="68"/>
      <x:c r="D97" s="72"/>
      <x:c r="E97" s="72"/>
      <x:c r="F97" s="72" t="str">
        <x:f>IF(D97="","",MAX(0,D97-E97))</x:f>
      </x:c>
      <x:c r="G97" s="68"/>
      <x:c r="H97" s="81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 ht="15.75" customHeight="1">
      <x:c r="A98" s="81"/>
      <x:c r="B98" s="68"/>
      <x:c r="C98" s="68"/>
      <x:c r="D98" s="72"/>
      <x:c r="E98" s="72"/>
      <x:c r="F98" s="72" t="str">
        <x:f>IF(D98="","",MAX(0,D98-E98))</x:f>
      </x:c>
      <x:c r="G98" s="68"/>
      <x:c r="H98" s="81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 ht="15.75" customHeight="1">
      <x:c r="A99" s="81"/>
      <x:c r="B99" s="68"/>
      <x:c r="C99" s="68"/>
      <x:c r="D99" s="72"/>
      <x:c r="E99" s="72"/>
      <x:c r="F99" s="72" t="str">
        <x:f>IF(D99="","",MAX(0,D99-E99))</x:f>
      </x:c>
      <x:c r="G99" s="68"/>
      <x:c r="H99" s="81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 ht="15.75" customHeight="1">
      <x:c r="A100" s="81"/>
      <x:c r="B100" s="68"/>
      <x:c r="C100" s="68"/>
      <x:c r="D100" s="72"/>
      <x:c r="E100" s="72"/>
      <x:c r="F100" s="72" t="str">
        <x:f>IF(D100="","",MAX(0,D100-E100))</x:f>
      </x:c>
      <x:c r="G100" s="68"/>
      <x:c r="H100" s="81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 ht="15.75" customHeight="1">
      <x:c r="A101" s="81"/>
      <x:c r="B101" s="68"/>
      <x:c r="C101" s="68"/>
      <x:c r="D101" s="72"/>
      <x:c r="E101" s="72"/>
      <x:c r="F101" s="72" t="str">
        <x:f>IF(D101="","",MAX(0,D101-E101))</x:f>
      </x:c>
      <x:c r="G101" s="68"/>
      <x:c r="H101" s="81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 ht="15.75" customHeight="1">
      <x:c r="A102" s="68"/>
      <x:c r="B102" s="68"/>
      <x:c r="C102" s="68"/>
      <x:c r="D102" s="70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 ht="15.75" customHeight="1">
      <x:c r="A103" s="68"/>
      <x:c r="B103" s="68"/>
      <x:c r="C103" s="68"/>
      <x:c r="D103" s="70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 ht="15.75" customHeight="1">
      <x:c r="A104" s="68"/>
      <x:c r="B104" s="68"/>
      <x:c r="C104" s="68"/>
      <x:c r="D104" s="70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 ht="15.75" customHeight="1">
      <x:c r="A105" s="68"/>
      <x:c r="B105" s="68"/>
      <x:c r="C105" s="68"/>
      <x:c r="D105" s="70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 ht="15.75" customHeight="1">
      <x:c r="A106" s="68"/>
      <x:c r="B106" s="68"/>
      <x:c r="C106" s="68"/>
      <x:c r="D106" s="70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 ht="15.75" customHeight="1">
      <x:c r="A107" s="68"/>
      <x:c r="B107" s="68"/>
      <x:c r="C107" s="68"/>
      <x:c r="D107" s="70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 ht="15.75" customHeight="1">
      <x:c r="A108" s="68"/>
      <x:c r="B108" s="68"/>
      <x:c r="C108" s="68"/>
      <x:c r="D108" s="70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 ht="15.75" customHeight="1">
      <x:c r="A109" s="68"/>
      <x:c r="B109" s="68"/>
      <x:c r="C109" s="68"/>
      <x:c r="D109" s="70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 ht="15.75" customHeight="1">
      <x:c r="A110" s="68"/>
      <x:c r="B110" s="68"/>
      <x:c r="C110" s="68"/>
      <x:c r="D110" s="70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 ht="15.75" customHeight="1">
      <x:c r="A111" s="68"/>
      <x:c r="B111" s="68"/>
      <x:c r="C111" s="68"/>
      <x:c r="D111" s="70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 ht="15.75" customHeight="1">
      <x:c r="A112" s="68"/>
      <x:c r="B112" s="68"/>
      <x:c r="C112" s="68"/>
      <x:c r="D112" s="70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 ht="15.75" customHeight="1">
      <x:c r="A113" s="68"/>
      <x:c r="B113" s="68"/>
      <x:c r="C113" s="68"/>
      <x:c r="D113" s="70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 ht="15.75" customHeight="1">
      <x:c r="A114" s="68"/>
      <x:c r="B114" s="68"/>
      <x:c r="C114" s="68"/>
      <x:c r="D114" s="70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 ht="15.75" customHeight="1">
      <x:c r="A115" s="68"/>
      <x:c r="B115" s="68"/>
      <x:c r="C115" s="68"/>
      <x:c r="D115" s="70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 ht="15.75" customHeight="1">
      <x:c r="A116" s="68"/>
      <x:c r="B116" s="68"/>
      <x:c r="C116" s="68"/>
      <x:c r="D116" s="70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 ht="15.75" customHeight="1">
      <x:c r="A117" s="68"/>
      <x:c r="B117" s="68"/>
      <x:c r="C117" s="68"/>
      <x:c r="D117" s="70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 ht="15.75" customHeight="1">
      <x:c r="A118" s="68"/>
      <x:c r="B118" s="68"/>
      <x:c r="C118" s="68"/>
      <x:c r="D118" s="70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 ht="15.75" customHeight="1">
      <x:c r="A119" s="68"/>
      <x:c r="B119" s="68"/>
      <x:c r="C119" s="68"/>
      <x:c r="D119" s="70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 ht="15.75" customHeight="1">
      <x:c r="A120" s="68"/>
      <x:c r="B120" s="68"/>
      <x:c r="C120" s="68"/>
      <x:c r="D120" s="70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 ht="15.75" customHeight="1">
      <x:c r="A121" s="68"/>
      <x:c r="B121" s="68"/>
      <x:c r="C121" s="68"/>
      <x:c r="D121" s="70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 ht="15.75" customHeight="1">
      <x:c r="A122" s="68"/>
      <x:c r="B122" s="68"/>
      <x:c r="C122" s="68"/>
      <x:c r="D122" s="70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 ht="15.75" customHeight="1">
      <x:c r="A123" s="68"/>
      <x:c r="B123" s="68"/>
      <x:c r="C123" s="68"/>
      <x:c r="D123" s="70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 ht="15.75" customHeight="1">
      <x:c r="A124" s="68"/>
      <x:c r="B124" s="68"/>
      <x:c r="C124" s="68"/>
      <x:c r="D124" s="70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 ht="15.75" customHeight="1">
      <x:c r="A125" s="68"/>
      <x:c r="B125" s="68"/>
      <x:c r="C125" s="68"/>
      <x:c r="D125" s="70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 ht="15.75" customHeight="1">
      <x:c r="A126" s="68"/>
      <x:c r="B126" s="68"/>
      <x:c r="C126" s="68"/>
      <x:c r="D126" s="70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 ht="15.75" customHeight="1">
      <x:c r="A127" s="68"/>
      <x:c r="B127" s="68"/>
      <x:c r="C127" s="68"/>
      <x:c r="D127" s="70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 ht="15.75" customHeight="1">
      <x:c r="A128" s="68"/>
      <x:c r="B128" s="68"/>
      <x:c r="C128" s="68"/>
      <x:c r="D128" s="70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 ht="15.75" customHeight="1">
      <x:c r="A129" s="68"/>
      <x:c r="B129" s="68"/>
      <x:c r="C129" s="68"/>
      <x:c r="D129" s="70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 ht="15.75" customHeight="1">
      <x:c r="A130" s="68"/>
      <x:c r="B130" s="68"/>
      <x:c r="C130" s="68"/>
      <x:c r="D130" s="70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 ht="15.75" customHeight="1">
      <x:c r="A131" s="68"/>
      <x:c r="B131" s="68"/>
      <x:c r="C131" s="68"/>
      <x:c r="D131" s="70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 ht="15.75" customHeight="1">
      <x:c r="A132" s="68"/>
      <x:c r="B132" s="68"/>
      <x:c r="C132" s="68"/>
      <x:c r="D132" s="70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 ht="15.75" customHeight="1">
      <x:c r="A133" s="68"/>
      <x:c r="B133" s="68"/>
      <x:c r="C133" s="68"/>
      <x:c r="D133" s="70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 ht="15.75" customHeight="1">
      <x:c r="A134" s="68"/>
      <x:c r="B134" s="68"/>
      <x:c r="C134" s="68"/>
      <x:c r="D134" s="70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 ht="15.75" customHeight="1">
      <x:c r="A135" s="68"/>
      <x:c r="B135" s="68"/>
      <x:c r="C135" s="68"/>
      <x:c r="D135" s="70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 ht="15.75" customHeight="1">
      <x:c r="A136" s="68"/>
      <x:c r="B136" s="68"/>
      <x:c r="C136" s="68"/>
      <x:c r="D136" s="70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 ht="15.75" customHeight="1">
      <x:c r="A137" s="68"/>
      <x:c r="B137" s="68"/>
      <x:c r="C137" s="68"/>
      <x:c r="D137" s="70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 ht="15.75" customHeight="1">
      <x:c r="A138" s="68"/>
      <x:c r="B138" s="68"/>
      <x:c r="C138" s="68"/>
      <x:c r="D138" s="70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 ht="15.75" customHeight="1">
      <x:c r="A139" s="68"/>
      <x:c r="B139" s="68"/>
      <x:c r="C139" s="68"/>
      <x:c r="D139" s="70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 ht="15.75" customHeight="1">
      <x:c r="A140" s="68"/>
      <x:c r="B140" s="68"/>
      <x:c r="C140" s="68"/>
      <x:c r="D140" s="70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 ht="15.75" customHeight="1">
      <x:c r="A141" s="68"/>
      <x:c r="B141" s="68"/>
      <x:c r="C141" s="68"/>
      <x:c r="D141" s="70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 ht="15.75" customHeight="1">
      <x:c r="A142" s="68"/>
      <x:c r="B142" s="68"/>
      <x:c r="C142" s="68"/>
      <x:c r="D142" s="70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 ht="15.75" customHeight="1">
      <x:c r="A143" s="68"/>
      <x:c r="B143" s="68"/>
      <x:c r="C143" s="68"/>
      <x:c r="D143" s="70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 ht="15.75" customHeight="1">
      <x:c r="A144" s="68"/>
      <x:c r="B144" s="68"/>
      <x:c r="C144" s="68"/>
      <x:c r="D144" s="70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 ht="15.75" customHeight="1">
      <x:c r="A145" s="68"/>
      <x:c r="B145" s="68"/>
      <x:c r="C145" s="68"/>
      <x:c r="D145" s="70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 ht="15.75" customHeight="1">
      <x:c r="A146" s="68"/>
      <x:c r="B146" s="68"/>
      <x:c r="C146" s="68"/>
      <x:c r="D146" s="70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 ht="15.75" customHeight="1">
      <x:c r="A147" s="68"/>
      <x:c r="B147" s="68"/>
      <x:c r="C147" s="68"/>
      <x:c r="D147" s="70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 ht="15.75" customHeight="1">
      <x:c r="A148" s="68"/>
      <x:c r="B148" s="68"/>
      <x:c r="C148" s="68"/>
      <x:c r="D148" s="70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 ht="15.75" customHeight="1">
      <x:c r="A149" s="68"/>
      <x:c r="B149" s="68"/>
      <x:c r="C149" s="68"/>
      <x:c r="D149" s="70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 ht="15.75" customHeight="1">
      <x:c r="A150" s="68"/>
      <x:c r="B150" s="68"/>
      <x:c r="C150" s="68"/>
      <x:c r="D150" s="70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 ht="15.75" customHeight="1">
      <x:c r="A151" s="68"/>
      <x:c r="B151" s="68"/>
      <x:c r="C151" s="68"/>
      <x:c r="D151" s="70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 ht="15.75" customHeight="1">
      <x:c r="A152" s="68"/>
      <x:c r="B152" s="68"/>
      <x:c r="C152" s="68"/>
      <x:c r="D152" s="70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 ht="15.75" customHeight="1">
      <x:c r="A153" s="68"/>
      <x:c r="B153" s="68"/>
      <x:c r="C153" s="68"/>
      <x:c r="D153" s="70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 ht="15.75" customHeight="1">
      <x:c r="A154" s="68"/>
      <x:c r="B154" s="68"/>
      <x:c r="C154" s="68"/>
      <x:c r="D154" s="70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 ht="15.75" customHeight="1">
      <x:c r="A155" s="68"/>
      <x:c r="B155" s="68"/>
      <x:c r="C155" s="68"/>
      <x:c r="D155" s="70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 ht="15.75" customHeight="1">
      <x:c r="A156" s="68"/>
      <x:c r="B156" s="68"/>
      <x:c r="C156" s="68"/>
      <x:c r="D156" s="70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 ht="15.75" customHeight="1">
      <x:c r="A157" s="68"/>
      <x:c r="B157" s="68"/>
      <x:c r="C157" s="68"/>
      <x:c r="D157" s="70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 ht="15.75" customHeight="1">
      <x:c r="A158" s="68"/>
      <x:c r="B158" s="68"/>
      <x:c r="C158" s="68"/>
      <x:c r="D158" s="70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 ht="15.75" customHeight="1">
      <x:c r="A159" s="68"/>
      <x:c r="B159" s="68"/>
      <x:c r="C159" s="68"/>
      <x:c r="D159" s="70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 ht="15.75" customHeight="1">
      <x:c r="A160" s="68"/>
      <x:c r="B160" s="68"/>
      <x:c r="C160" s="68"/>
      <x:c r="D160" s="70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 ht="15.75" customHeight="1">
      <x:c r="A161" s="68"/>
      <x:c r="B161" s="68"/>
      <x:c r="C161" s="68"/>
      <x:c r="D161" s="70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 ht="15.75" customHeight="1">
      <x:c r="A162" s="68"/>
      <x:c r="B162" s="68"/>
      <x:c r="C162" s="68"/>
      <x:c r="D162" s="70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 ht="15.75" customHeight="1">
      <x:c r="A163" s="68"/>
      <x:c r="B163" s="68"/>
      <x:c r="C163" s="68"/>
      <x:c r="D163" s="70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 ht="15.75" customHeight="1">
      <x:c r="A164" s="68"/>
      <x:c r="B164" s="68"/>
      <x:c r="C164" s="68"/>
      <x:c r="D164" s="70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 ht="15.75" customHeight="1">
      <x:c r="A165" s="68"/>
      <x:c r="B165" s="68"/>
      <x:c r="C165" s="68"/>
      <x:c r="D165" s="70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 ht="15.75" customHeight="1">
      <x:c r="A166" s="68"/>
      <x:c r="B166" s="68"/>
      <x:c r="C166" s="68"/>
      <x:c r="D166" s="70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 ht="15.75" customHeight="1">
      <x:c r="A167" s="68"/>
      <x:c r="B167" s="68"/>
      <x:c r="C167" s="68"/>
      <x:c r="D167" s="70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 ht="15.75" customHeight="1">
      <x:c r="A168" s="68"/>
      <x:c r="B168" s="68"/>
      <x:c r="C168" s="68"/>
      <x:c r="D168" s="70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 ht="15.75" customHeight="1">
      <x:c r="A169" s="68"/>
      <x:c r="B169" s="68"/>
      <x:c r="C169" s="68"/>
      <x:c r="D169" s="70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 ht="15.75" customHeight="1">
      <x:c r="A170" s="68"/>
      <x:c r="B170" s="68"/>
      <x:c r="C170" s="68"/>
      <x:c r="D170" s="70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 ht="15.75" customHeight="1">
      <x:c r="A171" s="68"/>
      <x:c r="B171" s="68"/>
      <x:c r="C171" s="68"/>
      <x:c r="D171" s="70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 ht="15.75" customHeight="1">
      <x:c r="A172" s="68"/>
      <x:c r="B172" s="68"/>
      <x:c r="C172" s="68"/>
      <x:c r="D172" s="70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 ht="15.75" customHeight="1">
      <x:c r="A173" s="68"/>
      <x:c r="B173" s="68"/>
      <x:c r="C173" s="68"/>
      <x:c r="D173" s="70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 ht="15.75" customHeight="1">
      <x:c r="A174" s="68"/>
      <x:c r="B174" s="68"/>
      <x:c r="C174" s="68"/>
      <x:c r="D174" s="70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 ht="15.75" customHeight="1">
      <x:c r="A175" s="68"/>
      <x:c r="B175" s="68"/>
      <x:c r="C175" s="68"/>
      <x:c r="D175" s="70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 ht="15.75" customHeight="1">
      <x:c r="A176" s="68"/>
      <x:c r="B176" s="68"/>
      <x:c r="C176" s="68"/>
      <x:c r="D176" s="70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 ht="15.75" customHeight="1">
      <x:c r="A177" s="68"/>
      <x:c r="B177" s="68"/>
      <x:c r="C177" s="68"/>
      <x:c r="D177" s="70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 ht="15.75" customHeight="1">
      <x:c r="A178" s="68"/>
      <x:c r="B178" s="68"/>
      <x:c r="C178" s="68"/>
      <x:c r="D178" s="70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 ht="15.75" customHeight="1">
      <x:c r="A179" s="68"/>
      <x:c r="B179" s="68"/>
      <x:c r="C179" s="68"/>
      <x:c r="D179" s="70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 ht="15.75" customHeight="1">
      <x:c r="A180" s="68"/>
      <x:c r="B180" s="68"/>
      <x:c r="C180" s="68"/>
      <x:c r="D180" s="70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 ht="15.75" customHeight="1">
      <x:c r="A181" s="68"/>
      <x:c r="B181" s="68"/>
      <x:c r="C181" s="68"/>
      <x:c r="D181" s="70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 ht="15.75" customHeight="1">
      <x:c r="A182" s="68"/>
      <x:c r="B182" s="68"/>
      <x:c r="C182" s="68"/>
      <x:c r="D182" s="70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 ht="15.75" customHeight="1">
      <x:c r="A183" s="68"/>
      <x:c r="B183" s="68"/>
      <x:c r="C183" s="68"/>
      <x:c r="D183" s="70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 ht="15.75" customHeight="1">
      <x:c r="A184" s="68"/>
      <x:c r="B184" s="68"/>
      <x:c r="C184" s="68"/>
      <x:c r="D184" s="70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 ht="15.75" customHeight="1">
      <x:c r="A185" s="68"/>
      <x:c r="B185" s="68"/>
      <x:c r="C185" s="68"/>
      <x:c r="D185" s="70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 ht="15.75" customHeight="1">
      <x:c r="A186" s="68"/>
      <x:c r="B186" s="68"/>
      <x:c r="C186" s="68"/>
      <x:c r="D186" s="70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 ht="15.75" customHeight="1">
      <x:c r="A187" s="68"/>
      <x:c r="B187" s="68"/>
      <x:c r="C187" s="68"/>
      <x:c r="D187" s="70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 ht="15.75" customHeight="1">
      <x:c r="A188" s="68"/>
      <x:c r="B188" s="68"/>
      <x:c r="C188" s="68"/>
      <x:c r="D188" s="70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 ht="15.75" customHeight="1">
      <x:c r="A189" s="68"/>
      <x:c r="B189" s="68"/>
      <x:c r="C189" s="68"/>
      <x:c r="D189" s="70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 ht="15.75" customHeight="1">
      <x:c r="A190" s="68"/>
      <x:c r="B190" s="68"/>
      <x:c r="C190" s="68"/>
      <x:c r="D190" s="70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 ht="15.75" customHeight="1">
      <x:c r="A191" s="68"/>
      <x:c r="B191" s="68"/>
      <x:c r="C191" s="68"/>
      <x:c r="D191" s="70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 ht="15.75" customHeight="1">
      <x:c r="A192" s="68"/>
      <x:c r="B192" s="68"/>
      <x:c r="C192" s="68"/>
      <x:c r="D192" s="70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 ht="15.75" customHeight="1">
      <x:c r="A193" s="68"/>
      <x:c r="B193" s="68"/>
      <x:c r="C193" s="68"/>
      <x:c r="D193" s="70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 ht="15.75" customHeight="1">
      <x:c r="A194" s="68"/>
      <x:c r="B194" s="68"/>
      <x:c r="C194" s="68"/>
      <x:c r="D194" s="70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 ht="15.75" customHeight="1">
      <x:c r="A195" s="68"/>
      <x:c r="B195" s="68"/>
      <x:c r="C195" s="68"/>
      <x:c r="D195" s="70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 ht="15.75" customHeight="1">
      <x:c r="A196" s="68"/>
      <x:c r="B196" s="68"/>
      <x:c r="C196" s="68"/>
      <x:c r="D196" s="70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 ht="15.75" customHeight="1">
      <x:c r="A197" s="68"/>
      <x:c r="B197" s="68"/>
      <x:c r="C197" s="68"/>
      <x:c r="D197" s="70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 ht="15.75" customHeight="1">
      <x:c r="A198" s="68"/>
      <x:c r="B198" s="68"/>
      <x:c r="C198" s="68"/>
      <x:c r="D198" s="70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 ht="15.75" customHeight="1">
      <x:c r="A199" s="68"/>
      <x:c r="B199" s="68"/>
      <x:c r="C199" s="68"/>
      <x:c r="D199" s="70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 ht="15.75" customHeight="1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 ht="15.75" customHeight="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 ht="15.75" customHeight="1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 ht="15.75" customHeight="1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 ht="15.75" customHeight="1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 ht="15.75" customHeight="1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 ht="15.75" customHeight="1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 ht="15.75" customHeight="1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 ht="15.75" customHeight="1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 ht="15.75" customHeight="1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 ht="15.75" customHeight="1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 ht="15.75" customHeight="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 ht="15.75" customHeight="1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 ht="15.75" customHeight="1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 ht="15.75" customHeight="1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 ht="15.75" customHeight="1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 ht="15.75" customHeight="1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 ht="15.75" customHeight="1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 ht="15.75" customHeight="1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 ht="15.75" customHeight="1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 ht="15.75" customHeight="1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 ht="15.75" customHeight="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 ht="15.75" customHeight="1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 ht="15.75" customHeight="1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 ht="15.75" customHeight="1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 ht="15.75" customHeight="1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 ht="15.75" customHeight="1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 ht="15.75" customHeight="1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 ht="15.75" customHeight="1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 ht="15.75" customHeight="1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 ht="15.75" customHeight="1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 ht="15.75" customHeight="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 ht="15.75" customHeight="1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 ht="15.75" customHeight="1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 ht="15.75" customHeight="1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 ht="15.75" customHeight="1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 ht="15.75" customHeight="1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 ht="15.75" customHeight="1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 ht="15.75" customHeight="1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 ht="15.75" customHeight="1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 ht="15.75" customHeight="1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 ht="15.75" customHeight="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 ht="15.75" customHeight="1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 ht="15.75" customHeight="1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 ht="15.75" customHeight="1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 ht="15.75" customHeight="1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 ht="15.75" customHeight="1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 ht="15.75" customHeight="1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 ht="15.75" customHeight="1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 ht="15.75" customHeight="1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 ht="15.75" customHeight="1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 ht="15.75" customHeight="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 ht="15.75" customHeight="1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 ht="15.75" customHeight="1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 ht="15.75" customHeight="1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 ht="15.75" customHeight="1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 ht="15.75" customHeight="1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 ht="15.75" customHeight="1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 ht="15.75" customHeight="1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 ht="15.75" customHeight="1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 ht="15.75" customHeight="1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 ht="15.75" customHeight="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 ht="15.75" customHeight="1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 ht="15.75" customHeight="1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 ht="15.75" customHeight="1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 ht="15.75" customHeight="1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 ht="15.75" customHeight="1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 ht="15.75" customHeight="1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 ht="15.75" customHeight="1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 ht="15.75" customHeight="1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 ht="15.75" customHeight="1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 ht="15.75" customHeight="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 ht="15.75" customHeight="1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 ht="15.75" customHeight="1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 ht="15.75" customHeight="1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 ht="15.75" customHeight="1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 ht="15.75" customHeight="1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 ht="15.75" customHeight="1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 ht="15.75" customHeight="1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 ht="15.75" customHeight="1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 ht="15.75" customHeight="1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 ht="15.75" customHeight="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 ht="15.75" customHeight="1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 ht="15.75" customHeight="1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 ht="15.75" customHeight="1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 ht="15.75" customHeight="1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 ht="15.75" customHeight="1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 ht="15.75" customHeight="1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 ht="15.75" customHeight="1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 ht="15.75" customHeight="1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 ht="15.75" customHeight="1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 ht="15.75" customHeight="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 ht="15.75" customHeight="1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 ht="15.75" customHeight="1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 ht="15.75" customHeight="1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 ht="15.75" customHeight="1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 ht="15.75" customHeight="1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 ht="15.75" customHeight="1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 ht="15.75" customHeight="1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 ht="15.75" customHeight="1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 ht="15.75" customHeight="1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conditionalFormatting sqref="F2:F199">
    <x:cfRule type="expression" dxfId="6" priority="1">
      <x:formula>OR(F2="Выполнено",F2="Готово",F2="Оплачен полностью",F2="Подписано")</x:formula>
    </x:cfRule>
  </x:conditionalFormatting>
  <x:conditionalFormatting sqref="F2:F199">
    <x:cfRule type="expression" dxfId="7" priority="2">
      <x:formula>OR(F2="Срочно",F2="Не оплачен")</x:formula>
    </x:cfRule>
  </x:conditionalFormatting>
  <x:conditionalFormatting sqref="F2:F199">
    <x:cfRule type="expression" dxfId="8" priority="3">
      <x:formula>OR(F2="В процессе",F2="Ожидаю","F2"="Депозит")</x:formula>
    </x:cfRule>
  </x:conditionalFormatting>
  <x:dataValidations count="3">
    <x:dataValidation type="list" sqref="B2:B101">
      <x:formula1>Lists!$H$2:$H$13</x:formula1>
    </x:dataValidation>
    <x:dataValidation type="list" sqref="G2:G101">
      <x:formula1>Lists!$G$2:$G$6</x:formula1>
    </x:dataValidation>
    <x:dataValidation type="list" sqref="I2:I101">
      <x:formula1>Lists!$I$2:$I$3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d2ffc7cf55d940cd"/>
    <x:tablePart xmlns:r="http://schemas.openxmlformats.org/officeDocument/2006/relationships" r:id="R077f4677125f4997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6" hidden="0" customWidth="1"/>
    <x:col min="2" max="2" width="24" hidden="0" customWidth="1"/>
    <x:col min="3" max="4" width="18" customWidth="1"/>
    <x:col min="5" max="7" width="8.630000114440918" customWidth="1"/>
    <x:col min="8" max="10" width="18" customWidth="1"/>
    <x:col min="11" max="26" width="8.630000114440918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4" hidden="0" customWidth="1"/>
  </x:cols>
  <x:sheetData>
    <x:row r="1">
      <x:c r="A1" s="66" t="str">
        <x:v>№</x:v>
      </x:c>
      <x:c r="B1" s="66" t="str">
        <x:v>Имя</x:v>
      </x:c>
      <x:c r="C1" s="66" t="str">
        <x:v>Телефон</x:v>
      </x:c>
      <x:c r="D1" s="66" t="str">
        <x:v>Email</x:v>
      </x:c>
      <x:c r="E1" s="66" t="str">
        <x:v>Комната</x:v>
      </x:c>
      <x:c r="F1" s="66" t="str">
        <x:v>Roommate</x:v>
      </x:c>
      <x:c r="G1" s="66" t="str">
        <x:v>Всего оплачено (€)</x:v>
      </x:c>
      <x:c r="H1" s="66" t="str">
        <x:v>Остаток (€)</x:v>
      </x:c>
      <x:c r="I1" s="66" t="str">
        <x:v>Статус оплаты</x:v>
      </x:c>
      <x:c r="J1" s="66" t="str">
        <x:v>Договор</x:v>
      </x:c>
      <x:c r="K1" s="66" t="str">
        <x:v>Анкета здоровья</x:v>
      </x:c>
      <x:c r="L1" s="66" t="str">
        <x:v>Фото/видео</x:v>
      </x:c>
      <x:c r="M1" s="66" t="str">
        <x:v>Sicherungsschein</x:v>
      </x:c>
      <x:c r="N1" s="66" t="str">
        <x:v>Билет</x:v>
      </x:c>
      <x:c r="O1" s="66" t="str">
        <x:v>Трансфер</x:v>
      </x:c>
      <x:c r="P1" s="66" t="str">
        <x:v>Комментарий</x:v>
      </x:c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68" t="n">
        <x:v>1</x:v>
      </x:c>
      <x:c r="B2" s="68" t="str">
        <x:v>Юлия Шапиро</x:v>
      </x:c>
      <x:c r="C2" s="68" t="str"/>
      <x:c r="D2" s="68" t="str"/>
      <x:c r="E2" s="70" t="str">
        <x:v>Double</x:v>
      </x:c>
      <x:c r="F2" s="70" t="str"/>
      <x:c r="G2" s="72" t="n">
        <x:f t="shared" ref="G2:G16" si="1">SUMIF(Income!$B:$B,B2,Income!$D:$D)</x:f>
        <x:v>1190</x:v>
      </x:c>
      <x:c r="H2" s="72" t="n">
        <x:f>MAX(0,Inputs!$B$7-G2)</x:f>
        <x:v>0</x:v>
      </x:c>
      <x:c r="I2" s="68" t="str">
        <x:f>IF(G2&gt;=Inputs!$B$7,"Оплачен полностью",IF(G2&gt;Inputs!$B$12,"Частично",IF(G2=Inputs!$B$12,"Депозит",IF(G2&gt;0,"Частично","Не оплачен"))))</x:f>
        <x:v>Оплачен полностью</x:v>
      </x:c>
      <x:c r="J2" s="68" t="str">
        <x:v>Ожидаю</x:v>
      </x:c>
      <x:c r="K2" s="68" t="str">
        <x:v>Ожидаю</x:v>
      </x:c>
      <x:c r="L2" s="68" t="str">
        <x:v>Ожидаю</x:v>
      </x:c>
      <x:c r="M2" s="68" t="str">
        <x:v>Ожидаю</x:v>
      </x:c>
      <x:c r="N2" s="68" t="str">
        <x:v>Ожидаю</x:v>
      </x:c>
      <x:c r="O2" s="68" t="str">
        <x:v>Ожидаю</x:v>
      </x:c>
      <x:c r="P2" s="68" t="str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68" t="n">
        <x:v>2</x:v>
      </x:c>
      <x:c r="B3" s="68" t="str">
        <x:v>Ирина</x:v>
      </x:c>
      <x:c r="C3" s="68" t="str"/>
      <x:c r="D3" s="68" t="str"/>
      <x:c r="E3" s="70" t="str">
        <x:v>Double</x:v>
      </x:c>
      <x:c r="F3" s="70" t="str"/>
      <x:c r="G3" s="72" t="n">
        <x:f t="shared" si="1">SUMIF(Income!$B:$B,B3,Income!$D:$D)</x:f>
        <x:v>1190</x:v>
      </x:c>
      <x:c r="H3" s="72" t="n">
        <x:f>MAX(0,Inputs!$B$7-G3)</x:f>
        <x:v>0</x:v>
      </x:c>
      <x:c r="I3" s="68" t="str">
        <x:f>IF(G3&gt;=Inputs!$B$7,"Оплачен полностью",IF(G3&gt;Inputs!$B$12,"Частично",IF(G3=Inputs!$B$12,"Депозит",IF(G3&gt;0,"Частично","Не оплачен"))))</x:f>
        <x:v>Оплачен полностью</x:v>
      </x:c>
      <x:c r="J3" s="68" t="str">
        <x:v>Ожидаю</x:v>
      </x:c>
      <x:c r="K3" s="68" t="str">
        <x:v>Ожидаю</x:v>
      </x:c>
      <x:c r="L3" s="68" t="str">
        <x:v>Ожидаю</x:v>
      </x:c>
      <x:c r="M3" s="68" t="str">
        <x:v>Ожидаю</x:v>
      </x:c>
      <x:c r="N3" s="68" t="str">
        <x:v>Ожидаю</x:v>
      </x:c>
      <x:c r="O3" s="68" t="str">
        <x:v>Ожидаю</x:v>
      </x:c>
      <x:c r="P3" s="68" t="str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8" t="n">
        <x:v>3</x:v>
      </x:c>
      <x:c r="B4" s="68" t="str">
        <x:v>Лариса</x:v>
      </x:c>
      <x:c r="C4" s="68" t="str"/>
      <x:c r="D4" s="68" t="str"/>
      <x:c r="E4" s="70" t="str">
        <x:v>Double</x:v>
      </x:c>
      <x:c r="F4" s="70" t="str"/>
      <x:c r="G4" s="72" t="n">
        <x:f t="shared" si="1">SUMIF(Income!$B:$B,B4,Income!$D:$D)</x:f>
        <x:v>1190</x:v>
      </x:c>
      <x:c r="H4" s="72" t="n">
        <x:f>MAX(0,Inputs!$B$7-G4)</x:f>
        <x:v>0</x:v>
      </x:c>
      <x:c r="I4" s="68" t="str">
        <x:f>IF(G4&gt;=Inputs!$B$7,"Оплачен полностью",IF(G4&gt;Inputs!$B$12,"Частично",IF(G4=Inputs!$B$12,"Депозит",IF(G4&gt;0,"Частично","Не оплачен"))))</x:f>
        <x:v>Оплачен полностью</x:v>
      </x:c>
      <x:c r="J4" s="68" t="str">
        <x:v>Ожидаю</x:v>
      </x:c>
      <x:c r="K4" s="68" t="str">
        <x:v>Ожидаю</x:v>
      </x:c>
      <x:c r="L4" s="68" t="str">
        <x:v>Ожидаю</x:v>
      </x:c>
      <x:c r="M4" s="68" t="str">
        <x:v>Ожидаю</x:v>
      </x:c>
      <x:c r="N4" s="68" t="str">
        <x:v>Ожидаю</x:v>
      </x:c>
      <x:c r="O4" s="68" t="str">
        <x:v>Ожидаю</x:v>
      </x:c>
      <x:c r="P4" s="68" t="str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68" t="n">
        <x:v>4</x:v>
      </x:c>
      <x:c r="B5" s="68" t="str">
        <x:v>Ольга Поздеева</x:v>
      </x:c>
      <x:c r="C5" s="68" t="str"/>
      <x:c r="D5" s="68" t="str"/>
      <x:c r="E5" s="70" t="str">
        <x:v>Single</x:v>
      </x:c>
      <x:c r="F5" s="70" t="str"/>
      <x:c r="G5" s="72" t="n">
        <x:f t="shared" si="1">SUMIF(Income!$B:$B,B5,Income!$D:$D)</x:f>
        <x:v>500</x:v>
      </x:c>
      <x:c r="H5" s="72" t="n">
        <x:f>MAX(0,Inputs!$B$7-G5)</x:f>
        <x:v>690</x:v>
      </x:c>
      <x:c r="I5" s="68" t="str">
        <x:f>IF(G5&gt;=Inputs!$B$7,"Оплачен полностью",IF(G5&gt;Inputs!$B$12,"Частично",IF(G5=Inputs!$B$12,"Депозит",IF(G5&gt;0,"Частично","Не оплачен"))))</x:f>
        <x:v>Частично</x:v>
      </x:c>
      <x:c r="J5" s="68" t="str">
        <x:v>Ожидаю</x:v>
      </x:c>
      <x:c r="K5" s="68" t="str">
        <x:v>Ожидаю</x:v>
      </x:c>
      <x:c r="L5" s="68" t="str">
        <x:v>Ожидаю</x:v>
      </x:c>
      <x:c r="M5" s="68" t="str">
        <x:v>Ожидаю</x:v>
      </x:c>
      <x:c r="N5" s="68" t="str">
        <x:v>Ожидаю</x:v>
      </x:c>
      <x:c r="O5" s="68" t="str">
        <x:v>Ожидаю</x:v>
      </x:c>
      <x:c r="P5" s="68" t="str">
        <x:v>single без доплаты</x:v>
      </x:c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68" t="n">
        <x:v>5</x:v>
      </x:c>
      <x:c r="B6" s="68" t="str">
        <x:v>Ольга Чупруна</x:v>
      </x:c>
      <x:c r="C6" s="68" t="str"/>
      <x:c r="D6" s="68" t="str"/>
      <x:c r="E6" s="70" t="str">
        <x:v>Double</x:v>
      </x:c>
      <x:c r="F6" s="70" t="str"/>
      <x:c r="G6" s="72" t="n">
        <x:f t="shared" si="1">SUMIF(Income!$B:$B,B6,Income!$D:$D)</x:f>
        <x:v>1190</x:v>
      </x:c>
      <x:c r="H6" s="72" t="n">
        <x:f>MAX(0,Inputs!$B$7-G6)</x:f>
        <x:v>0</x:v>
      </x:c>
      <x:c r="I6" s="68" t="str">
        <x:f>IF(G6&gt;=Inputs!$B$7,"Оплачен полностью",IF(G6&gt;Inputs!$B$12,"Частично",IF(G6=Inputs!$B$12,"Депозит",IF(G6&gt;0,"Частично","Не оплачен"))))</x:f>
        <x:v>Оплачен полностью</x:v>
      </x:c>
      <x:c r="J6" s="68" t="str">
        <x:v>Ожидаю</x:v>
      </x:c>
      <x:c r="K6" s="68" t="str">
        <x:v>Ожидаю</x:v>
      </x:c>
      <x:c r="L6" s="68" t="str">
        <x:v>Ожидаю</x:v>
      </x:c>
      <x:c r="M6" s="68" t="str">
        <x:v>Ожидаю</x:v>
      </x:c>
      <x:c r="N6" s="68" t="str">
        <x:v>Ожидаю</x:v>
      </x:c>
      <x:c r="O6" s="68" t="str">
        <x:v>Ожидаю</x:v>
      </x:c>
      <x:c r="P6" s="68" t="str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68" t="n">
        <x:v>6</x:v>
      </x:c>
      <x:c r="B7" s="68" t="str">
        <x:v>Екатерина Сиеринг</x:v>
      </x:c>
      <x:c r="C7" s="68" t="str"/>
      <x:c r="D7" s="68" t="str"/>
      <x:c r="E7" s="70" t="str">
        <x:v>Double</x:v>
      </x:c>
      <x:c r="F7" s="70" t="str"/>
      <x:c r="G7" s="72" t="n">
        <x:f t="shared" si="1">SUMIF(Income!$B:$B,B7,Income!$D:$D)</x:f>
        <x:v>300</x:v>
      </x:c>
      <x:c r="H7" s="72" t="n">
        <x:f>MAX(0,Inputs!$B$7-G7)</x:f>
        <x:v>890</x:v>
      </x:c>
      <x:c r="I7" s="68" t="str">
        <x:f>IF(G7&gt;=Inputs!$B$7,"Оплачен полностью",IF(G7&gt;Inputs!$B$12,"Частично",IF(G7=Inputs!$B$12,"Депозит",IF(G7&gt;0,"Частично","Не оплачен"))))</x:f>
        <x:v>Депозит</x:v>
      </x:c>
      <x:c r="J7" s="68" t="str">
        <x:v>Ожидаю</x:v>
      </x:c>
      <x:c r="K7" s="68" t="str">
        <x:v>Ожидаю</x:v>
      </x:c>
      <x:c r="L7" s="68" t="str">
        <x:v>Ожидаю</x:v>
      </x:c>
      <x:c r="M7" s="68" t="str">
        <x:v>Ожидаю</x:v>
      </x:c>
      <x:c r="N7" s="68" t="str">
        <x:v>Ожидаю</x:v>
      </x:c>
      <x:c r="O7" s="68" t="str">
        <x:v>Ожидаю</x:v>
      </x:c>
      <x:c r="P7" s="68" t="str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68" t="n">
        <x:v>7</x:v>
      </x:c>
      <x:c r="B8" s="68" t="str">
        <x:v>Татьяна Бигун</x:v>
      </x:c>
      <x:c r="C8" s="68" t="str"/>
      <x:c r="D8" s="68" t="str"/>
      <x:c r="E8" s="70" t="str">
        <x:v>Double</x:v>
      </x:c>
      <x:c r="F8" s="70" t="str"/>
      <x:c r="G8" s="72" t="n">
        <x:f t="shared" si="1">SUMIF(Income!$B:$B,B8,Income!$D:$D)</x:f>
        <x:v>300</x:v>
      </x:c>
      <x:c r="H8" s="72" t="n">
        <x:f>MAX(0,Inputs!$B$7-G8)</x:f>
        <x:v>890</x:v>
      </x:c>
      <x:c r="I8" s="68" t="str">
        <x:f>IF(G8&gt;=Inputs!$B$7,"Оплачен полностью",IF(G8&gt;Inputs!$B$12,"Частично",IF(G8=Inputs!$B$12,"Депозит",IF(G8&gt;0,"Частично","Не оплачен"))))</x:f>
        <x:v>Депозит</x:v>
      </x:c>
      <x:c r="J8" s="68" t="str">
        <x:v>Ожидаю</x:v>
      </x:c>
      <x:c r="K8" s="68" t="str">
        <x:v>Готово</x:v>
      </x:c>
      <x:c r="L8" s="68" t="str">
        <x:v>Ожидаю</x:v>
      </x:c>
      <x:c r="M8" s="68" t="str">
        <x:v>Ожидаю</x:v>
      </x:c>
      <x:c r="N8" s="68" t="str">
        <x:v>Ожидаю</x:v>
      </x:c>
      <x:c r="O8" s="68" t="str">
        <x:v>Ожидаю</x:v>
      </x:c>
      <x:c r="P8" s="68" t="str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68" t="n">
        <x:v>8</x:v>
      </x:c>
      <x:c r="B9" s="68" t="str">
        <x:v>Spivak Alina</x:v>
      </x:c>
      <x:c r="C9" s="68" t="str"/>
      <x:c r="D9" s="68" t="str"/>
      <x:c r="E9" s="70" t="str">
        <x:v>Double</x:v>
      </x:c>
      <x:c r="F9" s="70" t="str"/>
      <x:c r="G9" s="72" t="n">
        <x:f t="shared" si="1">SUMIF(Income!$B:$B,B9,Income!$D:$D)</x:f>
        <x:v>500</x:v>
      </x:c>
      <x:c r="H9" s="72" t="n">
        <x:f>MAX(0,Inputs!$B$7-G9)</x:f>
        <x:v>690</x:v>
      </x:c>
      <x:c r="I9" s="68" t="str">
        <x:f>IF(G9&gt;=Inputs!$B$7,"Оплачен полностью",IF(G9&gt;Inputs!$B$12,"Частично",IF(G9=Inputs!$B$12,"Депозит",IF(G9&gt;0,"Частично","Не оплачен"))))</x:f>
        <x:v>Частично</x:v>
      </x:c>
      <x:c r="J9" s="68" t="str">
        <x:v>Ожидаю</x:v>
      </x:c>
      <x:c r="K9" s="68" t="str">
        <x:v>Ожидаю</x:v>
      </x:c>
      <x:c r="L9" s="68" t="str">
        <x:v>Ожидаю</x:v>
      </x:c>
      <x:c r="M9" s="68" t="str">
        <x:v>Ожидаю</x:v>
      </x:c>
      <x:c r="N9" s="68" t="str">
        <x:v>Ожидаю</x:v>
      </x:c>
      <x:c r="O9" s="68" t="str">
        <x:v>Ожидаю</x:v>
      </x:c>
      <x:c r="P9" s="68" t="str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68" t="n">
        <x:v>9</x:v>
      </x:c>
      <x:c r="B10" s="68" t="str">
        <x:v>Anna мюнхен</x:v>
      </x:c>
      <x:c r="C10" s="68" t="str"/>
      <x:c r="D10" s="68" t="str"/>
      <x:c r="E10" s="70" t="str">
        <x:v>Double</x:v>
      </x:c>
      <x:c r="F10" s="70" t="str"/>
      <x:c r="G10" s="72" t="n">
        <x:f t="shared" si="1">SUMIF(Income!$B:$B,B10,Income!$D:$D)</x:f>
        <x:v>300</x:v>
      </x:c>
      <x:c r="H10" s="72" t="n">
        <x:f>MAX(0,Inputs!$B$7-G10)</x:f>
        <x:v>890</x:v>
      </x:c>
      <x:c r="I10" s="68" t="str">
        <x:f>IF(G10&gt;=Inputs!$B$7,"Оплачен полностью",IF(G10&gt;Inputs!$B$12,"Частично",IF(G10=Inputs!$B$12,"Депозит",IF(G10&gt;0,"Частично","Не оплачен"))))</x:f>
        <x:v>Депозит</x:v>
      </x:c>
      <x:c r="J10" s="68" t="str">
        <x:v>Ожидаю</x:v>
      </x:c>
      <x:c r="K10" s="68" t="str">
        <x:v>Ожидаю</x:v>
      </x:c>
      <x:c r="L10" s="68" t="str">
        <x:v>Ожидаю</x:v>
      </x:c>
      <x:c r="M10" s="68" t="str">
        <x:v>Ожидаю</x:v>
      </x:c>
      <x:c r="N10" s="68" t="str">
        <x:v>Ожидаю</x:v>
      </x:c>
      <x:c r="O10" s="68" t="str">
        <x:v>Ожидаю</x:v>
      </x:c>
      <x:c r="P10" s="68" t="str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68" t="n">
        <x:v>10</x:v>
      </x:c>
      <x:c r="B11" s="68" t="str">
        <x:v>Настя нов</x:v>
      </x:c>
      <x:c r="C11" s="68" t="str"/>
      <x:c r="D11" s="68" t="str"/>
      <x:c r="E11" s="70" t="str">
        <x:v>Double</x:v>
      </x:c>
      <x:c r="F11" s="70" t="str"/>
      <x:c r="G11" s="72" t="n">
        <x:f t="shared" si="1">SUMIF(Income!$B:$B,B11,Income!$D:$D)</x:f>
        <x:v>300</x:v>
      </x:c>
      <x:c r="H11" s="72" t="n">
        <x:f>MAX(0,Inputs!$B$7-G11)</x:f>
        <x:v>890</x:v>
      </x:c>
      <x:c r="I11" s="68" t="str">
        <x:f>IF(G11&gt;=Inputs!$B$7,"Оплачен полностью",IF(G11&gt;Inputs!$B$12,"Частично",IF(G11=Inputs!$B$12,"Депозит",IF(G11&gt;0,"Частично","Не оплачен"))))</x:f>
        <x:v>Депозит</x:v>
      </x:c>
      <x:c r="J11" s="68" t="str">
        <x:v>Ожидаю</x:v>
      </x:c>
      <x:c r="K11" s="68" t="str">
        <x:v>Ожидаю</x:v>
      </x:c>
      <x:c r="L11" s="68" t="str">
        <x:v>Ожидаю</x:v>
      </x:c>
      <x:c r="M11" s="68" t="str">
        <x:v>Ожидаю</x:v>
      </x:c>
      <x:c r="N11" s="68" t="str">
        <x:v>Ожидаю</x:v>
      </x:c>
      <x:c r="O11" s="68" t="str">
        <x:v>Ожидаю</x:v>
      </x:c>
      <x:c r="P11" s="68" t="str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68" t="n">
        <x:v>11</x:v>
      </x:c>
      <x:c r="B12" s="68" t="str">
        <x:v>Участница 11</x:v>
      </x:c>
      <x:c r="C12" s="68" t="str"/>
      <x:c r="D12" s="68" t="str"/>
      <x:c r="E12" s="70" t="str">
        <x:v>Double</x:v>
      </x:c>
      <x:c r="F12" s="70" t="str"/>
      <x:c r="G12" s="72" t="n">
        <x:f t="shared" si="1">SUMIF(Income!$B:$B,B12,Income!$D:$D)</x:f>
        <x:v>0</x:v>
      </x:c>
      <x:c r="H12" s="72" t="n">
        <x:f>MAX(0,Inputs!$B$7-G12)</x:f>
        <x:v>1190</x:v>
      </x:c>
      <x:c r="I12" s="68" t="str">
        <x:f>IF(G12&gt;=Inputs!$B$7,"Оплачен полностью",IF(G12&gt;Inputs!$B$12,"Частично",IF(G12=Inputs!$B$12,"Депозит",IF(G12&gt;0,"Частично","Не оплачен"))))</x:f>
        <x:v>Не оплачен</x:v>
      </x:c>
      <x:c r="J12" s="68" t="str">
        <x:v>Ожидаю</x:v>
      </x:c>
      <x:c r="K12" s="68" t="str">
        <x:v>Ожидаю</x:v>
      </x:c>
      <x:c r="L12" s="68" t="str">
        <x:v>Ожидаю</x:v>
      </x:c>
      <x:c r="M12" s="68" t="str">
        <x:v>Ожидаю</x:v>
      </x:c>
      <x:c r="N12" s="68" t="str">
        <x:v>Ожидаю</x:v>
      </x:c>
      <x:c r="O12" s="68" t="str">
        <x:v>Ожидаю</x:v>
      </x:c>
      <x:c r="P12" s="68" t="str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68" t="n">
        <x:v>12</x:v>
      </x:c>
      <x:c r="B13" s="68" t="str">
        <x:v>Участница 12</x:v>
      </x:c>
      <x:c r="C13" s="68" t="str"/>
      <x:c r="D13" s="68" t="str"/>
      <x:c r="E13" s="70" t="str">
        <x:v>Double</x:v>
      </x:c>
      <x:c r="F13" s="70" t="str"/>
      <x:c r="G13" s="72" t="n">
        <x:f t="shared" si="1">SUMIF(Income!$B:$B,B13,Income!$D:$D)</x:f>
        <x:v>0</x:v>
      </x:c>
      <x:c r="H13" s="72" t="n">
        <x:f>MAX(0,Inputs!$B$7-G13)</x:f>
        <x:v>1190</x:v>
      </x:c>
      <x:c r="I13" s="68" t="str">
        <x:f>IF(G13&gt;=Inputs!$B$7,"Оплачен полностью",IF(G13&gt;Inputs!$B$12,"Частично",IF(G13=Inputs!$B$12,"Депозит",IF(G13&gt;0,"Частично","Не оплачен"))))</x:f>
        <x:v>Не оплачен</x:v>
      </x:c>
      <x:c r="J13" s="68" t="str">
        <x:v>Ожидаю</x:v>
      </x:c>
      <x:c r="K13" s="68" t="str">
        <x:v>Ожидаю</x:v>
      </x:c>
      <x:c r="L13" s="68" t="str">
        <x:v>Ожидаю</x:v>
      </x:c>
      <x:c r="M13" s="68" t="str">
        <x:v>Ожидаю</x:v>
      </x:c>
      <x:c r="N13" s="68" t="str">
        <x:v>Ожидаю</x:v>
      </x:c>
      <x:c r="O13" s="68" t="str">
        <x:v>Ожидаю</x:v>
      </x:c>
      <x:c r="P13" s="68" t="str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68" t="n">
        <x:v>13</x:v>
      </x:c>
      <x:c r="B14" s="68" t="str">
        <x:v>Участница 13</x:v>
      </x:c>
      <x:c r="C14" s="68" t="str"/>
      <x:c r="D14" s="68" t="str"/>
      <x:c r="E14" s="70" t="str">
        <x:v>Double</x:v>
      </x:c>
      <x:c r="F14" s="70" t="str"/>
      <x:c r="G14" s="72" t="n">
        <x:f t="shared" si="1">SUMIF(Income!$B:$B,B14,Income!$D:$D)</x:f>
        <x:v>0</x:v>
      </x:c>
      <x:c r="H14" s="72" t="n">
        <x:f>MAX(0,Inputs!$B$7-G14)</x:f>
        <x:v>1190</x:v>
      </x:c>
      <x:c r="I14" s="68" t="str">
        <x:f>IF(G14&gt;=Inputs!$B$7,"Оплачен полностью",IF(G14&gt;Inputs!$B$12,"Частично",IF(G14=Inputs!$B$12,"Депозит",IF(G14&gt;0,"Частично","Не оплачен"))))</x:f>
        <x:v>Не оплачен</x:v>
      </x:c>
      <x:c r="J14" s="68" t="str">
        <x:v>Ожидаю</x:v>
      </x:c>
      <x:c r="K14" s="68" t="str">
        <x:v>Ожидаю</x:v>
      </x:c>
      <x:c r="L14" s="68" t="str">
        <x:v>Ожидаю</x:v>
      </x:c>
      <x:c r="M14" s="68" t="str">
        <x:v>Ожидаю</x:v>
      </x:c>
      <x:c r="N14" s="68" t="str">
        <x:v>Ожидаю</x:v>
      </x:c>
      <x:c r="O14" s="68" t="str">
        <x:v>Ожидаю</x:v>
      </x:c>
      <x:c r="P14" s="68" t="str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68" t="n">
        <x:v>14</x:v>
      </x:c>
      <x:c r="B15" s="68" t="str">
        <x:v>Участница 14</x:v>
      </x:c>
      <x:c r="C15" s="68" t="str"/>
      <x:c r="D15" s="68" t="str"/>
      <x:c r="E15" s="70" t="str">
        <x:v>Double</x:v>
      </x:c>
      <x:c r="F15" s="70" t="str"/>
      <x:c r="G15" s="72" t="n">
        <x:f t="shared" si="1">SUMIF(Income!$B:$B,B15,Income!$D:$D)</x:f>
        <x:v>0</x:v>
      </x:c>
      <x:c r="H15" s="72" t="n">
        <x:f>MAX(0,Inputs!$B$7-G15)</x:f>
        <x:v>1190</x:v>
      </x:c>
      <x:c r="I15" s="68" t="str">
        <x:f>IF(G15&gt;=Inputs!$B$7,"Оплачен полностью",IF(G15&gt;Inputs!$B$12,"Частично",IF(G15=Inputs!$B$12,"Депозит",IF(G15&gt;0,"Частично","Не оплачен"))))</x:f>
        <x:v>Не оплачен</x:v>
      </x:c>
      <x:c r="J15" s="68" t="str">
        <x:v>Ожидаю</x:v>
      </x:c>
      <x:c r="K15" s="68" t="str">
        <x:v>Ожидаю</x:v>
      </x:c>
      <x:c r="L15" s="68" t="str">
        <x:v>Ожидаю</x:v>
      </x:c>
      <x:c r="M15" s="68" t="str">
        <x:v>Ожидаю</x:v>
      </x:c>
      <x:c r="N15" s="68" t="str">
        <x:v>Ожидаю</x:v>
      </x:c>
      <x:c r="O15" s="68" t="str">
        <x:v>Ожидаю</x:v>
      </x:c>
      <x:c r="P15" s="68" t="str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68" t="n">
        <x:v>15</x:v>
      </x:c>
      <x:c r="B16" s="68" t="str">
        <x:v>Участница 15</x:v>
      </x:c>
      <x:c r="C16" s="68" t="str"/>
      <x:c r="D16" s="68" t="str"/>
      <x:c r="E16" s="70" t="str">
        <x:v>Double</x:v>
      </x:c>
      <x:c r="F16" s="70" t="str"/>
      <x:c r="G16" s="72" t="n">
        <x:f t="shared" si="1">SUMIF(Income!$B:$B,B16,Income!$D:$D)</x:f>
        <x:v>0</x:v>
      </x:c>
      <x:c r="H16" s="72" t="n">
        <x:f>MAX(0,Inputs!$B$7-G16)</x:f>
        <x:v>1190</x:v>
      </x:c>
      <x:c r="I16" s="68" t="str">
        <x:f>IF(G16&gt;=Inputs!$B$7,"Оплачен полностью",IF(G16&gt;Inputs!$B$12,"Частично",IF(G16=Inputs!$B$12,"Депозит",IF(G16&gt;0,"Частично","Не оплачен"))))</x:f>
        <x:v>Не оплачен</x:v>
      </x:c>
      <x:c r="J16" s="68" t="str">
        <x:v>Ожидаю</x:v>
      </x:c>
      <x:c r="K16" s="68" t="str">
        <x:v>Ожидаю</x:v>
      </x:c>
      <x:c r="L16" s="68" t="str">
        <x:v>Ожидаю</x:v>
      </x:c>
      <x:c r="M16" s="68" t="str">
        <x:v>Ожидаю</x:v>
      </x:c>
      <x:c r="N16" s="68" t="str">
        <x:v>Ожидаю</x:v>
      </x:c>
      <x:c r="O16" s="68" t="str">
        <x:v>Ожидаю</x:v>
      </x:c>
      <x:c r="P16" s="68" t="str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68" t="n">
        <x:v>16</x:v>
      </x:c>
      <x:c r="B17" s="68" t="str">
        <x:v>Участница 16</x:v>
      </x:c>
      <x:c r="C17" s="68" t="str"/>
      <x:c r="D17" s="68" t="str"/>
      <x:c r="E17" s="70" t="str">
        <x:v>Double</x:v>
      </x:c>
      <x:c r="F17" s="70" t="str"/>
      <x:c r="G17" s="72" t="n">
        <x:f>SUMIF(Income!$B:$B,B17,Income!$D:$D)</x:f>
        <x:v>0</x:v>
      </x:c>
      <x:c r="H17" s="72" t="n">
        <x:f>MAX(0,Inputs!$B$7-G17)</x:f>
        <x:v>1190</x:v>
      </x:c>
      <x:c r="I17" s="68" t="str">
        <x:f>IF(G17&gt;=Inputs!$B$7,"Оплачен полностью",IF(G17&gt;Inputs!$B$12,"Частично",IF(G17=Inputs!$B$12,"Депозит",IF(G17&gt;0,"Частично","Не оплачен"))))</x:f>
        <x:v>Не оплачен</x:v>
      </x:c>
      <x:c r="J17" s="68" t="str">
        <x:v>Ожидаю</x:v>
      </x:c>
      <x:c r="K17" s="68" t="str">
        <x:v>Ожидаю</x:v>
      </x:c>
      <x:c r="L17" s="68" t="str">
        <x:v>Ожидаю</x:v>
      </x:c>
      <x:c r="M17" s="68" t="str">
        <x:v>Ожидаю</x:v>
      </x:c>
      <x:c r="N17" s="68" t="str">
        <x:v>Ожидаю</x:v>
      </x:c>
      <x:c r="O17" s="68" t="str">
        <x:v>Ожидаю</x:v>
      </x:c>
      <x:c r="P17" s="68" t="str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68" t="n">
        <x:v>17</x:v>
      </x:c>
      <x:c r="B18" s="68" t="str">
        <x:v>Участница 17</x:v>
      </x:c>
      <x:c r="C18" s="68" t="str"/>
      <x:c r="D18" s="68" t="str"/>
      <x:c r="E18" s="70" t="str">
        <x:v>Double</x:v>
      </x:c>
      <x:c r="F18" s="70" t="str"/>
      <x:c r="G18" s="72" t="n">
        <x:f>SUMIF(Income!$B:$B,B18,Income!$D:$D)</x:f>
        <x:v>0</x:v>
      </x:c>
      <x:c r="H18" s="72" t="n">
        <x:f>MAX(0,Inputs!$B$7-G18)</x:f>
        <x:v>1190</x:v>
      </x:c>
      <x:c r="I18" s="68" t="str">
        <x:f>IF(G18&gt;=Inputs!$B$7,"Оплачен полностью",IF(G18&gt;Inputs!$B$12,"Частично",IF(G18=Inputs!$B$12,"Депозит",IF(G18&gt;0,"Частично","Не оплачен"))))</x:f>
        <x:v>Не оплачен</x:v>
      </x:c>
      <x:c r="J18" s="68" t="str">
        <x:v>Ожидаю</x:v>
      </x:c>
      <x:c r="K18" s="68" t="str">
        <x:v>Ожидаю</x:v>
      </x:c>
      <x:c r="L18" s="68" t="str">
        <x:v>Ожидаю</x:v>
      </x:c>
      <x:c r="M18" s="68" t="str">
        <x:v>Ожидаю</x:v>
      </x:c>
      <x:c r="N18" s="68" t="str">
        <x:v>Ожидаю</x:v>
      </x:c>
      <x:c r="O18" s="68" t="str">
        <x:v>Ожидаю</x:v>
      </x:c>
      <x:c r="P18" s="68" t="str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68" t="n">
        <x:v>18</x:v>
      </x:c>
      <x:c r="B19" s="68" t="str">
        <x:v>Участница 18</x:v>
      </x:c>
      <x:c r="C19" s="68" t="str"/>
      <x:c r="D19" s="68" t="str"/>
      <x:c r="E19" s="70" t="str">
        <x:v>Double</x:v>
      </x:c>
      <x:c r="F19" s="70" t="str"/>
      <x:c r="G19" s="72" t="n">
        <x:f>SUMIF(Income!$B:$B,B19,Income!$D:$D)</x:f>
        <x:v>0</x:v>
      </x:c>
      <x:c r="H19" s="72" t="n">
        <x:f>MAX(0,Inputs!$B$7-G19)</x:f>
        <x:v>1190</x:v>
      </x:c>
      <x:c r="I19" s="68" t="str">
        <x:f>IF(G19&gt;=Inputs!$B$7,"Оплачен полностью",IF(G19&gt;Inputs!$B$12,"Частично",IF(G19=Inputs!$B$12,"Депозит",IF(G19&gt;0,"Частично","Не оплачен"))))</x:f>
        <x:v>Не оплачен</x:v>
      </x:c>
      <x:c r="J19" s="68" t="str">
        <x:v>Ожидаю</x:v>
      </x:c>
      <x:c r="K19" s="68" t="str">
        <x:v>Ожидаю</x:v>
      </x:c>
      <x:c r="L19" s="68" t="str">
        <x:v>Ожидаю</x:v>
      </x:c>
      <x:c r="M19" s="68" t="str">
        <x:v>Ожидаю</x:v>
      </x:c>
      <x:c r="N19" s="68" t="str">
        <x:v>Ожидаю</x:v>
      </x:c>
      <x:c r="O19" s="68" t="str">
        <x:v>Ожидаю</x:v>
      </x:c>
      <x:c r="P19" s="68" t="str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68" t="n">
        <x:v>19</x:v>
      </x:c>
      <x:c r="B20" s="68" t="str">
        <x:v>Участница 19</x:v>
      </x:c>
      <x:c r="C20" s="68" t="str"/>
      <x:c r="D20" s="68" t="str"/>
      <x:c r="E20" s="70" t="str">
        <x:v>Double</x:v>
      </x:c>
      <x:c r="F20" s="70" t="str"/>
      <x:c r="G20" s="72" t="n">
        <x:f>SUMIF(Income!$B:$B,B20,Income!$D:$D)</x:f>
        <x:v>0</x:v>
      </x:c>
      <x:c r="H20" s="72" t="n">
        <x:f>MAX(0,Inputs!$B$7-G20)</x:f>
        <x:v>1190</x:v>
      </x:c>
      <x:c r="I20" s="68" t="str">
        <x:f>IF(G20&gt;=Inputs!$B$7,"Оплачен полностью",IF(G20&gt;Inputs!$B$12,"Частично",IF(G20=Inputs!$B$12,"Депозит",IF(G20&gt;0,"Частично","Не оплачен"))))</x:f>
        <x:v>Не оплачен</x:v>
      </x:c>
      <x:c r="J20" s="68" t="str">
        <x:v>Ожидаю</x:v>
      </x:c>
      <x:c r="K20" s="68" t="str">
        <x:v>Ожидаю</x:v>
      </x:c>
      <x:c r="L20" s="68" t="str">
        <x:v>Ожидаю</x:v>
      </x:c>
      <x:c r="M20" s="68" t="str">
        <x:v>Ожидаю</x:v>
      </x:c>
      <x:c r="N20" s="68" t="str">
        <x:v>Ожидаю</x:v>
      </x:c>
      <x:c r="O20" s="68" t="str">
        <x:v>Ожидаю</x:v>
      </x:c>
      <x:c r="P20" s="68" t="str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 ht="15.75" customHeight="1">
      <x:c r="A21" s="68" t="n">
        <x:v>20</x:v>
      </x:c>
      <x:c r="B21" s="68" t="str">
        <x:v>Участница 20</x:v>
      </x:c>
      <x:c r="C21" s="68" t="str"/>
      <x:c r="D21" s="68" t="str"/>
      <x:c r="E21" s="70" t="str">
        <x:v>Double</x:v>
      </x:c>
      <x:c r="F21" s="70" t="str"/>
      <x:c r="G21" s="72" t="n">
        <x:f>SUMIF(Income!$B:$B,B21,Income!$D:$D)</x:f>
        <x:v>0</x:v>
      </x:c>
      <x:c r="H21" s="72" t="n">
        <x:f>MAX(0,Inputs!$B$7-G21)</x:f>
        <x:v>1190</x:v>
      </x:c>
      <x:c r="I21" s="68" t="str">
        <x:f>IF(G21&gt;=Inputs!$B$7,"Оплачен полностью",IF(G21&gt;Inputs!$B$12,"Частично",IF(G21=Inputs!$B$12,"Депозит",IF(G21&gt;0,"Частично","Не оплачен"))))</x:f>
        <x:v>Не оплачен</x:v>
      </x:c>
      <x:c r="J21" s="68" t="str">
        <x:v>Ожидаю</x:v>
      </x:c>
      <x:c r="K21" s="68" t="str">
        <x:v>Ожидаю</x:v>
      </x:c>
      <x:c r="L21" s="68" t="str">
        <x:v>Ожидаю</x:v>
      </x:c>
      <x:c r="M21" s="68" t="str">
        <x:v>Ожидаю</x:v>
      </x:c>
      <x:c r="N21" s="68" t="str">
        <x:v>Ожидаю</x:v>
      </x:c>
      <x:c r="O21" s="68" t="str">
        <x:v>Ожидаю</x:v>
      </x:c>
      <x:c r="P21" s="68" t="str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 ht="15.75" customHeight="1">
      <x:c r="A22" s="68"/>
      <x:c r="B22" s="68"/>
      <x:c r="C22" s="68"/>
      <x:c r="D22" s="68"/>
      <x:c r="E22" s="70"/>
      <x:c r="F22" s="70"/>
      <x:c r="G22" s="72"/>
      <x:c r="H22" s="72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 ht="15.75" customHeight="1">
      <x:c r="A23" s="68"/>
      <x:c r="B23" s="68"/>
      <x:c r="C23" s="68"/>
      <x:c r="D23" s="68"/>
      <x:c r="E23" s="70"/>
      <x:c r="F23" s="70"/>
      <x:c r="G23" s="72"/>
      <x:c r="H23" s="72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 ht="15.75" customHeight="1">
      <x:c r="A24" s="68"/>
      <x:c r="B24" s="68"/>
      <x:c r="C24" s="68"/>
      <x:c r="D24" s="68"/>
      <x:c r="E24" s="70"/>
      <x:c r="F24" s="70"/>
      <x:c r="G24" s="72"/>
      <x:c r="H24" s="72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 ht="15.75" customHeight="1">
      <x:c r="A25" s="68"/>
      <x:c r="B25" s="68"/>
      <x:c r="C25" s="68"/>
      <x:c r="D25" s="68"/>
      <x:c r="E25" s="70"/>
      <x:c r="F25" s="70"/>
      <x:c r="G25" s="72"/>
      <x:c r="H25" s="72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 ht="15.75" customHeight="1">
      <x:c r="A26" s="68"/>
      <x:c r="B26" s="68"/>
      <x:c r="C26" s="68"/>
      <x:c r="D26" s="68"/>
      <x:c r="E26" s="70"/>
      <x:c r="F26" s="70"/>
      <x:c r="G26" s="72"/>
      <x:c r="H26" s="72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 ht="15.75" customHeight="1">
      <x:c r="A27" s="68"/>
      <x:c r="B27" s="68"/>
      <x:c r="C27" s="68"/>
      <x:c r="D27" s="68"/>
      <x:c r="E27" s="70"/>
      <x:c r="F27" s="70"/>
      <x:c r="G27" s="72"/>
      <x:c r="H27" s="72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 ht="15.75" customHeight="1">
      <x:c r="A28" s="68"/>
      <x:c r="B28" s="68"/>
      <x:c r="C28" s="68"/>
      <x:c r="D28" s="68"/>
      <x:c r="E28" s="70"/>
      <x:c r="F28" s="70"/>
      <x:c r="G28" s="72"/>
      <x:c r="H28" s="72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 ht="15.75" customHeight="1">
      <x:c r="A29" s="68"/>
      <x:c r="B29" s="68"/>
      <x:c r="C29" s="68"/>
      <x:c r="D29" s="68"/>
      <x:c r="E29" s="70"/>
      <x:c r="F29" s="70"/>
      <x:c r="G29" s="72"/>
      <x:c r="H29" s="72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 ht="15.75" customHeight="1">
      <x:c r="A30" s="68"/>
      <x:c r="B30" s="68"/>
      <x:c r="C30" s="68"/>
      <x:c r="D30" s="68"/>
      <x:c r="E30" s="70"/>
      <x:c r="F30" s="70"/>
      <x:c r="G30" s="72"/>
      <x:c r="H30" s="72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 ht="15.75" customHeight="1">
      <x:c r="A31" s="68"/>
      <x:c r="B31" s="68"/>
      <x:c r="C31" s="68"/>
      <x:c r="D31" s="68"/>
      <x:c r="E31" s="70"/>
      <x:c r="F31" s="70"/>
      <x:c r="G31" s="72"/>
      <x:c r="H31" s="72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 ht="15.75" customHeight="1">
      <x:c r="A32" s="68"/>
      <x:c r="B32" s="68"/>
      <x:c r="C32" s="68"/>
      <x:c r="D32" s="68"/>
      <x:c r="E32" s="70"/>
      <x:c r="F32" s="70"/>
      <x:c r="G32" s="72"/>
      <x:c r="H32" s="72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 ht="15.75" customHeight="1">
      <x:c r="A33" s="68"/>
      <x:c r="B33" s="68"/>
      <x:c r="C33" s="68"/>
      <x:c r="D33" s="68"/>
      <x:c r="E33" s="70"/>
      <x:c r="F33" s="70"/>
      <x:c r="G33" s="72"/>
      <x:c r="H33" s="72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 ht="15.75" customHeight="1">
      <x:c r="A34" s="68"/>
      <x:c r="B34" s="68"/>
      <x:c r="C34" s="68"/>
      <x:c r="D34" s="68"/>
      <x:c r="E34" s="70"/>
      <x:c r="F34" s="70"/>
      <x:c r="G34" s="72"/>
      <x:c r="H34" s="72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 ht="15.75" customHeight="1">
      <x:c r="A35" s="68"/>
      <x:c r="B35" s="68"/>
      <x:c r="C35" s="68"/>
      <x:c r="D35" s="68"/>
      <x:c r="E35" s="70"/>
      <x:c r="F35" s="70"/>
      <x:c r="G35" s="72"/>
      <x:c r="H35" s="72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 ht="15.75" customHeight="1">
      <x:c r="A36" s="68"/>
      <x:c r="B36" s="68"/>
      <x:c r="C36" s="68"/>
      <x:c r="D36" s="68"/>
      <x:c r="E36" s="70"/>
      <x:c r="F36" s="70"/>
      <x:c r="G36" s="72"/>
      <x:c r="H36" s="72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 ht="15.75" customHeight="1">
      <x:c r="A37" s="68"/>
      <x:c r="B37" s="68"/>
      <x:c r="C37" s="68"/>
      <x:c r="D37" s="68"/>
      <x:c r="E37" s="70"/>
      <x:c r="F37" s="70"/>
      <x:c r="G37" s="72"/>
      <x:c r="H37" s="72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 ht="15.75" customHeight="1">
      <x:c r="A38" s="68"/>
      <x:c r="B38" s="68"/>
      <x:c r="C38" s="68"/>
      <x:c r="D38" s="68"/>
      <x:c r="E38" s="70"/>
      <x:c r="F38" s="70"/>
      <x:c r="G38" s="72"/>
      <x:c r="H38" s="72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 ht="15.75" customHeight="1">
      <x:c r="A39" s="68"/>
      <x:c r="B39" s="68"/>
      <x:c r="C39" s="68"/>
      <x:c r="D39" s="68"/>
      <x:c r="E39" s="70"/>
      <x:c r="F39" s="70"/>
      <x:c r="G39" s="72"/>
      <x:c r="H39" s="72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 ht="15.75" customHeight="1">
      <x:c r="A40" s="68"/>
      <x:c r="B40" s="68"/>
      <x:c r="C40" s="68"/>
      <x:c r="D40" s="68"/>
      <x:c r="E40" s="70"/>
      <x:c r="F40" s="70"/>
      <x:c r="G40" s="72"/>
      <x:c r="H40" s="72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 ht="15.75" customHeight="1">
      <x:c r="A41" s="68"/>
      <x:c r="B41" s="68"/>
      <x:c r="C41" s="68"/>
      <x:c r="D41" s="68"/>
      <x:c r="E41" s="70"/>
      <x:c r="F41" s="70"/>
      <x:c r="G41" s="72"/>
      <x:c r="H41" s="72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 ht="15.75" customHeight="1">
      <x:c r="A42" s="68"/>
      <x:c r="B42" s="68"/>
      <x:c r="C42" s="68"/>
      <x:c r="D42" s="68"/>
      <x:c r="E42" s="70"/>
      <x:c r="F42" s="70"/>
      <x:c r="G42" s="72"/>
      <x:c r="H42" s="72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 ht="15.75" customHeight="1">
      <x:c r="A43" s="68"/>
      <x:c r="B43" s="68"/>
      <x:c r="C43" s="68"/>
      <x:c r="D43" s="68"/>
      <x:c r="E43" s="70"/>
      <x:c r="F43" s="70"/>
      <x:c r="G43" s="72"/>
      <x:c r="H43" s="72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 ht="15.75" customHeight="1">
      <x:c r="A44" s="68"/>
      <x:c r="B44" s="68"/>
      <x:c r="C44" s="68"/>
      <x:c r="D44" s="68"/>
      <x:c r="E44" s="70"/>
      <x:c r="F44" s="70"/>
      <x:c r="G44" s="72"/>
      <x:c r="H44" s="72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 ht="15.75" customHeight="1">
      <x:c r="A45" s="68"/>
      <x:c r="B45" s="68"/>
      <x:c r="C45" s="68"/>
      <x:c r="D45" s="68"/>
      <x:c r="E45" s="70"/>
      <x:c r="F45" s="70"/>
      <x:c r="G45" s="72"/>
      <x:c r="H45" s="72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 ht="15.75" customHeight="1">
      <x:c r="A46" s="68"/>
      <x:c r="B46" s="68"/>
      <x:c r="C46" s="68"/>
      <x:c r="D46" s="68"/>
      <x:c r="E46" s="70"/>
      <x:c r="F46" s="70"/>
      <x:c r="G46" s="72"/>
      <x:c r="H46" s="72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 ht="15.75" customHeight="1">
      <x:c r="A47" s="68"/>
      <x:c r="B47" s="68"/>
      <x:c r="C47" s="68"/>
      <x:c r="D47" s="68"/>
      <x:c r="E47" s="70"/>
      <x:c r="F47" s="70"/>
      <x:c r="G47" s="72"/>
      <x:c r="H47" s="72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 ht="15.75" customHeight="1">
      <x:c r="A48" s="68"/>
      <x:c r="B48" s="68"/>
      <x:c r="C48" s="68"/>
      <x:c r="D48" s="68"/>
      <x:c r="E48" s="70"/>
      <x:c r="F48" s="70"/>
      <x:c r="G48" s="72"/>
      <x:c r="H48" s="72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 ht="15.75" customHeight="1">
      <x:c r="A49" s="68"/>
      <x:c r="B49" s="68"/>
      <x:c r="C49" s="68"/>
      <x:c r="D49" s="68"/>
      <x:c r="E49" s="70"/>
      <x:c r="F49" s="70"/>
      <x:c r="G49" s="72"/>
      <x:c r="H49" s="72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 ht="15.75" customHeight="1">
      <x:c r="A50" s="68"/>
      <x:c r="B50" s="68"/>
      <x:c r="C50" s="68"/>
      <x:c r="D50" s="68"/>
      <x:c r="E50" s="70"/>
      <x:c r="F50" s="70"/>
      <x:c r="G50" s="72"/>
      <x:c r="H50" s="72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 ht="15.75" customHeight="1">
      <x:c r="A51" s="68"/>
      <x:c r="B51" s="68"/>
      <x:c r="C51" s="68"/>
      <x:c r="D51" s="68"/>
      <x:c r="E51" s="70"/>
      <x:c r="F51" s="70"/>
      <x:c r="G51" s="72"/>
      <x:c r="H51" s="72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 ht="15.75" customHeight="1">
      <x:c r="A52" s="68"/>
      <x:c r="B52" s="68"/>
      <x:c r="C52" s="68"/>
      <x:c r="D52" s="68"/>
      <x:c r="E52" s="70"/>
      <x:c r="F52" s="70"/>
      <x:c r="G52" s="72"/>
      <x:c r="H52" s="72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 ht="15.75" customHeight="1">
      <x:c r="A53" s="68"/>
      <x:c r="B53" s="68"/>
      <x:c r="C53" s="68"/>
      <x:c r="D53" s="68"/>
      <x:c r="E53" s="70"/>
      <x:c r="F53" s="70"/>
      <x:c r="G53" s="72"/>
      <x:c r="H53" s="72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 ht="15.75" customHeight="1">
      <x:c r="A54" s="68"/>
      <x:c r="B54" s="68"/>
      <x:c r="C54" s="68"/>
      <x:c r="D54" s="68"/>
      <x:c r="E54" s="70"/>
      <x:c r="F54" s="70"/>
      <x:c r="G54" s="72"/>
      <x:c r="H54" s="72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 ht="15.75" customHeight="1">
      <x:c r="A55" s="68"/>
      <x:c r="B55" s="68"/>
      <x:c r="C55" s="68"/>
      <x:c r="D55" s="68"/>
      <x:c r="E55" s="70"/>
      <x:c r="F55" s="70"/>
      <x:c r="G55" s="72"/>
      <x:c r="H55" s="72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 ht="15.75" customHeight="1">
      <x:c r="A56" s="68"/>
      <x:c r="B56" s="68"/>
      <x:c r="C56" s="68"/>
      <x:c r="D56" s="68"/>
      <x:c r="E56" s="70"/>
      <x:c r="F56" s="70"/>
      <x:c r="G56" s="72"/>
      <x:c r="H56" s="72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 ht="15.75" customHeight="1">
      <x:c r="A57" s="68"/>
      <x:c r="B57" s="68"/>
      <x:c r="C57" s="68"/>
      <x:c r="D57" s="68"/>
      <x:c r="E57" s="70"/>
      <x:c r="F57" s="70"/>
      <x:c r="G57" s="72"/>
      <x:c r="H57" s="72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 ht="15.75" customHeight="1">
      <x:c r="A58" s="68"/>
      <x:c r="B58" s="68"/>
      <x:c r="C58" s="68"/>
      <x:c r="D58" s="68"/>
      <x:c r="E58" s="70"/>
      <x:c r="F58" s="70"/>
      <x:c r="G58" s="72"/>
      <x:c r="H58" s="72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 ht="15.75" customHeight="1">
      <x:c r="A59" s="68"/>
      <x:c r="B59" s="68"/>
      <x:c r="C59" s="68"/>
      <x:c r="D59" s="68"/>
      <x:c r="E59" s="70"/>
      <x:c r="F59" s="70"/>
      <x:c r="G59" s="72"/>
      <x:c r="H59" s="72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 ht="15.75" customHeight="1">
      <x:c r="A60" s="68"/>
      <x:c r="B60" s="68"/>
      <x:c r="C60" s="68"/>
      <x:c r="D60" s="68"/>
      <x:c r="E60" s="70"/>
      <x:c r="F60" s="70"/>
      <x:c r="G60" s="72"/>
      <x:c r="H60" s="72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 ht="15.75" customHeight="1">
      <x:c r="A61" s="68"/>
      <x:c r="B61" s="68"/>
      <x:c r="C61" s="68"/>
      <x:c r="D61" s="68"/>
      <x:c r="E61" s="70"/>
      <x:c r="F61" s="70"/>
      <x:c r="G61" s="72"/>
      <x:c r="H61" s="72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 ht="15.75" customHeight="1">
      <x:c r="A62" s="68"/>
      <x:c r="B62" s="68"/>
      <x:c r="C62" s="68"/>
      <x:c r="D62" s="68"/>
      <x:c r="E62" s="70"/>
      <x:c r="F62" s="70"/>
      <x:c r="G62" s="72"/>
      <x:c r="H62" s="72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 ht="15.75" customHeight="1">
      <x:c r="A63" s="68"/>
      <x:c r="B63" s="68"/>
      <x:c r="C63" s="68"/>
      <x:c r="D63" s="68"/>
      <x:c r="E63" s="70"/>
      <x:c r="F63" s="70"/>
      <x:c r="G63" s="72"/>
      <x:c r="H63" s="72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 ht="15.75" customHeight="1">
      <x:c r="A64" s="68"/>
      <x:c r="B64" s="68"/>
      <x:c r="C64" s="68"/>
      <x:c r="D64" s="68"/>
      <x:c r="E64" s="70"/>
      <x:c r="F64" s="70"/>
      <x:c r="G64" s="72"/>
      <x:c r="H64" s="72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 ht="15.75" customHeight="1">
      <x:c r="A65" s="68"/>
      <x:c r="B65" s="68"/>
      <x:c r="C65" s="68"/>
      <x:c r="D65" s="68"/>
      <x:c r="E65" s="70"/>
      <x:c r="F65" s="70"/>
      <x:c r="G65" s="72"/>
      <x:c r="H65" s="72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 ht="15.75" customHeight="1">
      <x:c r="A66" s="68"/>
      <x:c r="B66" s="68"/>
      <x:c r="C66" s="68"/>
      <x:c r="D66" s="68"/>
      <x:c r="E66" s="70"/>
      <x:c r="F66" s="70"/>
      <x:c r="G66" s="72"/>
      <x:c r="H66" s="72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 ht="15.75" customHeight="1">
      <x:c r="A67" s="68"/>
      <x:c r="B67" s="68"/>
      <x:c r="C67" s="68"/>
      <x:c r="D67" s="68"/>
      <x:c r="E67" s="70"/>
      <x:c r="F67" s="70"/>
      <x:c r="G67" s="72"/>
      <x:c r="H67" s="72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 ht="15.75" customHeight="1">
      <x:c r="A68" s="68"/>
      <x:c r="B68" s="68"/>
      <x:c r="C68" s="68"/>
      <x:c r="D68" s="68"/>
      <x:c r="E68" s="70"/>
      <x:c r="F68" s="70"/>
      <x:c r="G68" s="72"/>
      <x:c r="H68" s="72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 ht="15.75" customHeight="1">
      <x:c r="A69" s="68"/>
      <x:c r="B69" s="68"/>
      <x:c r="C69" s="68"/>
      <x:c r="D69" s="68"/>
      <x:c r="E69" s="70"/>
      <x:c r="F69" s="70"/>
      <x:c r="G69" s="72"/>
      <x:c r="H69" s="72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 ht="15.75" customHeight="1">
      <x:c r="A70" s="68"/>
      <x:c r="B70" s="68"/>
      <x:c r="C70" s="68"/>
      <x:c r="D70" s="68"/>
      <x:c r="E70" s="70"/>
      <x:c r="F70" s="70"/>
      <x:c r="G70" s="72"/>
      <x:c r="H70" s="72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 ht="15.75" customHeight="1">
      <x:c r="A71" s="68"/>
      <x:c r="B71" s="68"/>
      <x:c r="C71" s="68"/>
      <x:c r="D71" s="68"/>
      <x:c r="E71" s="70"/>
      <x:c r="F71" s="70"/>
      <x:c r="G71" s="72"/>
      <x:c r="H71" s="72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 ht="15.75" customHeight="1">
      <x:c r="A72" s="68"/>
      <x:c r="B72" s="68"/>
      <x:c r="C72" s="68"/>
      <x:c r="D72" s="68"/>
      <x:c r="E72" s="70"/>
      <x:c r="F72" s="70"/>
      <x:c r="G72" s="72"/>
      <x:c r="H72" s="72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 ht="15.75" customHeight="1">
      <x:c r="A73" s="68"/>
      <x:c r="B73" s="68"/>
      <x:c r="C73" s="68"/>
      <x:c r="D73" s="68"/>
      <x:c r="E73" s="70"/>
      <x:c r="F73" s="70"/>
      <x:c r="G73" s="72"/>
      <x:c r="H73" s="72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 ht="15.75" customHeight="1">
      <x:c r="A74" s="68"/>
      <x:c r="B74" s="68"/>
      <x:c r="C74" s="68"/>
      <x:c r="D74" s="68"/>
      <x:c r="E74" s="70"/>
      <x:c r="F74" s="70"/>
      <x:c r="G74" s="72"/>
      <x:c r="H74" s="72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 ht="15.75" customHeight="1">
      <x:c r="A75" s="68"/>
      <x:c r="B75" s="68"/>
      <x:c r="C75" s="68"/>
      <x:c r="D75" s="68"/>
      <x:c r="E75" s="70"/>
      <x:c r="F75" s="70"/>
      <x:c r="G75" s="72"/>
      <x:c r="H75" s="72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 ht="15.75" customHeight="1">
      <x:c r="A76" s="68"/>
      <x:c r="B76" s="68"/>
      <x:c r="C76" s="68"/>
      <x:c r="D76" s="68"/>
      <x:c r="E76" s="70"/>
      <x:c r="F76" s="70"/>
      <x:c r="G76" s="72"/>
      <x:c r="H76" s="72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 ht="15.75" customHeight="1">
      <x:c r="A77" s="68"/>
      <x:c r="B77" s="68"/>
      <x:c r="C77" s="68"/>
      <x:c r="D77" s="68"/>
      <x:c r="E77" s="70"/>
      <x:c r="F77" s="70"/>
      <x:c r="G77" s="72"/>
      <x:c r="H77" s="72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 ht="15.75" customHeight="1">
      <x:c r="A78" s="68"/>
      <x:c r="B78" s="68"/>
      <x:c r="C78" s="68"/>
      <x:c r="D78" s="68"/>
      <x:c r="E78" s="70"/>
      <x:c r="F78" s="70"/>
      <x:c r="G78" s="72"/>
      <x:c r="H78" s="72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 ht="15.75" customHeight="1">
      <x:c r="A79" s="68"/>
      <x:c r="B79" s="68"/>
      <x:c r="C79" s="68"/>
      <x:c r="D79" s="68"/>
      <x:c r="E79" s="70"/>
      <x:c r="F79" s="70"/>
      <x:c r="G79" s="72"/>
      <x:c r="H79" s="72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 ht="15.75" customHeight="1">
      <x:c r="A80" s="68"/>
      <x:c r="B80" s="68"/>
      <x:c r="C80" s="68"/>
      <x:c r="D80" s="68"/>
      <x:c r="E80" s="70"/>
      <x:c r="F80" s="70"/>
      <x:c r="G80" s="72"/>
      <x:c r="H80" s="72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 ht="15.75" customHeight="1">
      <x:c r="A81" s="68"/>
      <x:c r="B81" s="68"/>
      <x:c r="C81" s="68"/>
      <x:c r="D81" s="68"/>
      <x:c r="E81" s="70"/>
      <x:c r="F81" s="70"/>
      <x:c r="G81" s="72"/>
      <x:c r="H81" s="72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 ht="15.75" customHeight="1">
      <x:c r="A82" s="68"/>
      <x:c r="B82" s="68"/>
      <x:c r="C82" s="68"/>
      <x:c r="D82" s="68"/>
      <x:c r="E82" s="70"/>
      <x:c r="F82" s="70"/>
      <x:c r="G82" s="72"/>
      <x:c r="H82" s="72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 ht="15.75" customHeight="1">
      <x:c r="A83" s="68"/>
      <x:c r="B83" s="68"/>
      <x:c r="C83" s="68"/>
      <x:c r="D83" s="68"/>
      <x:c r="E83" s="70"/>
      <x:c r="F83" s="70"/>
      <x:c r="G83" s="72"/>
      <x:c r="H83" s="72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 ht="15.75" customHeight="1">
      <x:c r="A84" s="68"/>
      <x:c r="B84" s="68"/>
      <x:c r="C84" s="68"/>
      <x:c r="D84" s="68"/>
      <x:c r="E84" s="70"/>
      <x:c r="F84" s="70"/>
      <x:c r="G84" s="72"/>
      <x:c r="H84" s="72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 ht="15.75" customHeight="1">
      <x:c r="A85" s="68"/>
      <x:c r="B85" s="68"/>
      <x:c r="C85" s="68"/>
      <x:c r="D85" s="68"/>
      <x:c r="E85" s="70"/>
      <x:c r="F85" s="70"/>
      <x:c r="G85" s="72"/>
      <x:c r="H85" s="72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 ht="15.75" customHeight="1">
      <x:c r="A86" s="68"/>
      <x:c r="B86" s="68"/>
      <x:c r="C86" s="68"/>
      <x:c r="D86" s="68"/>
      <x:c r="E86" s="70"/>
      <x:c r="F86" s="70"/>
      <x:c r="G86" s="72"/>
      <x:c r="H86" s="72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 ht="15.75" customHeight="1">
      <x:c r="A87" s="68"/>
      <x:c r="B87" s="68"/>
      <x:c r="C87" s="68"/>
      <x:c r="D87" s="68"/>
      <x:c r="E87" s="70"/>
      <x:c r="F87" s="70"/>
      <x:c r="G87" s="72"/>
      <x:c r="H87" s="72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 ht="15.75" customHeight="1">
      <x:c r="A88" s="68"/>
      <x:c r="B88" s="68"/>
      <x:c r="C88" s="68"/>
      <x:c r="D88" s="68"/>
      <x:c r="E88" s="70"/>
      <x:c r="F88" s="70"/>
      <x:c r="G88" s="72"/>
      <x:c r="H88" s="72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 ht="15.75" customHeight="1">
      <x:c r="A89" s="68"/>
      <x:c r="B89" s="68"/>
      <x:c r="C89" s="68"/>
      <x:c r="D89" s="68"/>
      <x:c r="E89" s="70"/>
      <x:c r="F89" s="70"/>
      <x:c r="G89" s="72"/>
      <x:c r="H89" s="72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 ht="15.75" customHeight="1">
      <x:c r="A90" s="68"/>
      <x:c r="B90" s="68"/>
      <x:c r="C90" s="68"/>
      <x:c r="D90" s="68"/>
      <x:c r="E90" s="70"/>
      <x:c r="F90" s="70"/>
      <x:c r="G90" s="72"/>
      <x:c r="H90" s="72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 ht="15.75" customHeight="1">
      <x:c r="A91" s="68"/>
      <x:c r="B91" s="68"/>
      <x:c r="C91" s="68"/>
      <x:c r="D91" s="68"/>
      <x:c r="E91" s="70"/>
      <x:c r="F91" s="70"/>
      <x:c r="G91" s="72"/>
      <x:c r="H91" s="72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 ht="15.75" customHeight="1">
      <x:c r="A92" s="68"/>
      <x:c r="B92" s="68"/>
      <x:c r="C92" s="68"/>
      <x:c r="D92" s="68"/>
      <x:c r="E92" s="70"/>
      <x:c r="F92" s="70"/>
      <x:c r="G92" s="72"/>
      <x:c r="H92" s="72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 ht="15.75" customHeight="1">
      <x:c r="A93" s="68"/>
      <x:c r="B93" s="68"/>
      <x:c r="C93" s="68"/>
      <x:c r="D93" s="68"/>
      <x:c r="E93" s="70"/>
      <x:c r="F93" s="70"/>
      <x:c r="G93" s="72"/>
      <x:c r="H93" s="72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 ht="15.75" customHeight="1">
      <x:c r="A94" s="68"/>
      <x:c r="B94" s="68"/>
      <x:c r="C94" s="68"/>
      <x:c r="D94" s="68"/>
      <x:c r="E94" s="70"/>
      <x:c r="F94" s="70"/>
      <x:c r="G94" s="72"/>
      <x:c r="H94" s="72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 ht="15.75" customHeight="1">
      <x:c r="A95" s="68"/>
      <x:c r="B95" s="68"/>
      <x:c r="C95" s="68"/>
      <x:c r="D95" s="68"/>
      <x:c r="E95" s="70"/>
      <x:c r="F95" s="70"/>
      <x:c r="G95" s="72"/>
      <x:c r="H95" s="72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 ht="15.75" customHeight="1">
      <x:c r="A96" s="68"/>
      <x:c r="B96" s="68"/>
      <x:c r="C96" s="68"/>
      <x:c r="D96" s="68"/>
      <x:c r="E96" s="70"/>
      <x:c r="F96" s="70"/>
      <x:c r="G96" s="72"/>
      <x:c r="H96" s="72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 ht="15.75" customHeight="1">
      <x:c r="A97" s="68"/>
      <x:c r="B97" s="68"/>
      <x:c r="C97" s="68"/>
      <x:c r="D97" s="68"/>
      <x:c r="E97" s="70"/>
      <x:c r="F97" s="70"/>
      <x:c r="G97" s="72"/>
      <x:c r="H97" s="72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 ht="15.75" customHeight="1">
      <x:c r="A98" s="68"/>
      <x:c r="B98" s="68"/>
      <x:c r="C98" s="68"/>
      <x:c r="D98" s="68"/>
      <x:c r="E98" s="70"/>
      <x:c r="F98" s="70"/>
      <x:c r="G98" s="72"/>
      <x:c r="H98" s="72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 ht="15.75" customHeight="1">
      <x:c r="A99" s="68"/>
      <x:c r="B99" s="68"/>
      <x:c r="C99" s="68"/>
      <x:c r="D99" s="68"/>
      <x:c r="E99" s="70"/>
      <x:c r="F99" s="70"/>
      <x:c r="G99" s="72"/>
      <x:c r="H99" s="72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 ht="15.75" customHeight="1">
      <x:c r="A100" s="68"/>
      <x:c r="B100" s="68"/>
      <x:c r="C100" s="68"/>
      <x:c r="D100" s="68"/>
      <x:c r="E100" s="70"/>
      <x:c r="F100" s="70"/>
      <x:c r="G100" s="72"/>
      <x:c r="H100" s="72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 ht="15.75" customHeight="1">
      <x:c r="A101" s="68"/>
      <x:c r="B101" s="68"/>
      <x:c r="C101" s="68"/>
      <x:c r="D101" s="68"/>
      <x:c r="E101" s="70"/>
      <x:c r="F101" s="70"/>
      <x:c r="G101" s="72"/>
      <x:c r="H101" s="72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 ht="15.75" customHeight="1">
      <x:c r="A102" s="68"/>
      <x:c r="B102" s="68"/>
      <x:c r="C102" s="68"/>
      <x:c r="D102" s="68"/>
      <x:c r="E102" s="70"/>
      <x:c r="F102" s="70"/>
      <x:c r="G102" s="70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 ht="15.75" customHeight="1">
      <x:c r="A103" s="68"/>
      <x:c r="B103" s="68"/>
      <x:c r="C103" s="68"/>
      <x:c r="D103" s="68"/>
      <x:c r="E103" s="70"/>
      <x:c r="F103" s="70"/>
      <x:c r="G103" s="70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 ht="15.75" customHeight="1">
      <x:c r="A104" s="68"/>
      <x:c r="B104" s="68"/>
      <x:c r="C104" s="68"/>
      <x:c r="D104" s="68"/>
      <x:c r="E104" s="70"/>
      <x:c r="F104" s="70"/>
      <x:c r="G104" s="70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 ht="15.75" customHeight="1">
      <x:c r="A105" s="68"/>
      <x:c r="B105" s="68"/>
      <x:c r="C105" s="68"/>
      <x:c r="D105" s="68"/>
      <x:c r="E105" s="70"/>
      <x:c r="F105" s="70"/>
      <x:c r="G105" s="70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 ht="15.75" customHeight="1">
      <x:c r="A106" s="68"/>
      <x:c r="B106" s="68"/>
      <x:c r="C106" s="68"/>
      <x:c r="D106" s="68"/>
      <x:c r="E106" s="70"/>
      <x:c r="F106" s="70"/>
      <x:c r="G106" s="70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 ht="15.75" customHeight="1">
      <x:c r="A107" s="68"/>
      <x:c r="B107" s="68"/>
      <x:c r="C107" s="68"/>
      <x:c r="D107" s="68"/>
      <x:c r="E107" s="70"/>
      <x:c r="F107" s="70"/>
      <x:c r="G107" s="70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 ht="15.75" customHeight="1">
      <x:c r="A108" s="68"/>
      <x:c r="B108" s="68"/>
      <x:c r="C108" s="68"/>
      <x:c r="D108" s="68"/>
      <x:c r="E108" s="70"/>
      <x:c r="F108" s="70"/>
      <x:c r="G108" s="70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 ht="15.75" customHeight="1">
      <x:c r="A109" s="68"/>
      <x:c r="B109" s="68"/>
      <x:c r="C109" s="68"/>
      <x:c r="D109" s="68"/>
      <x:c r="E109" s="70"/>
      <x:c r="F109" s="70"/>
      <x:c r="G109" s="70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 ht="15.75" customHeight="1">
      <x:c r="A110" s="68"/>
      <x:c r="B110" s="68"/>
      <x:c r="C110" s="68"/>
      <x:c r="D110" s="68"/>
      <x:c r="E110" s="70"/>
      <x:c r="F110" s="70"/>
      <x:c r="G110" s="70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 ht="15.75" customHeight="1">
      <x:c r="A111" s="68"/>
      <x:c r="B111" s="68"/>
      <x:c r="C111" s="68"/>
      <x:c r="D111" s="68"/>
      <x:c r="E111" s="70"/>
      <x:c r="F111" s="70"/>
      <x:c r="G111" s="70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 ht="15.75" customHeight="1">
      <x:c r="A112" s="68"/>
      <x:c r="B112" s="68"/>
      <x:c r="C112" s="68"/>
      <x:c r="D112" s="68"/>
      <x:c r="E112" s="70"/>
      <x:c r="F112" s="70"/>
      <x:c r="G112" s="70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 ht="15.75" customHeight="1">
      <x:c r="A113" s="68"/>
      <x:c r="B113" s="68"/>
      <x:c r="C113" s="68"/>
      <x:c r="D113" s="68"/>
      <x:c r="E113" s="70"/>
      <x:c r="F113" s="70"/>
      <x:c r="G113" s="70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 ht="15.75" customHeight="1">
      <x:c r="A114" s="68"/>
      <x:c r="B114" s="68"/>
      <x:c r="C114" s="68"/>
      <x:c r="D114" s="68"/>
      <x:c r="E114" s="70"/>
      <x:c r="F114" s="70"/>
      <x:c r="G114" s="70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 ht="15.75" customHeight="1">
      <x:c r="A115" s="68"/>
      <x:c r="B115" s="68"/>
      <x:c r="C115" s="68"/>
      <x:c r="D115" s="68"/>
      <x:c r="E115" s="70"/>
      <x:c r="F115" s="70"/>
      <x:c r="G115" s="70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 ht="15.75" customHeight="1">
      <x:c r="A116" s="68"/>
      <x:c r="B116" s="68"/>
      <x:c r="C116" s="68"/>
      <x:c r="D116" s="68"/>
      <x:c r="E116" s="70"/>
      <x:c r="F116" s="70"/>
      <x:c r="G116" s="70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 ht="15.75" customHeight="1">
      <x:c r="A117" s="68"/>
      <x:c r="B117" s="68"/>
      <x:c r="C117" s="68"/>
      <x:c r="D117" s="68"/>
      <x:c r="E117" s="70"/>
      <x:c r="F117" s="70"/>
      <x:c r="G117" s="70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 ht="15.75" customHeight="1">
      <x:c r="A118" s="68"/>
      <x:c r="B118" s="68"/>
      <x:c r="C118" s="68"/>
      <x:c r="D118" s="68"/>
      <x:c r="E118" s="70"/>
      <x:c r="F118" s="70"/>
      <x:c r="G118" s="70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 ht="15.75" customHeight="1">
      <x:c r="A119" s="68"/>
      <x:c r="B119" s="68"/>
      <x:c r="C119" s="68"/>
      <x:c r="D119" s="68"/>
      <x:c r="E119" s="70"/>
      <x:c r="F119" s="70"/>
      <x:c r="G119" s="70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 ht="15.75" customHeight="1">
      <x:c r="A120" s="68"/>
      <x:c r="B120" s="68"/>
      <x:c r="C120" s="68"/>
      <x:c r="D120" s="68"/>
      <x:c r="E120" s="70"/>
      <x:c r="F120" s="70"/>
      <x:c r="G120" s="70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 ht="15.75" customHeight="1">
      <x:c r="A121" s="68"/>
      <x:c r="B121" s="68"/>
      <x:c r="C121" s="68"/>
      <x:c r="D121" s="68"/>
      <x:c r="E121" s="70"/>
      <x:c r="F121" s="70"/>
      <x:c r="G121" s="70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 ht="15.75" customHeight="1">
      <x:c r="A122" s="68"/>
      <x:c r="B122" s="68"/>
      <x:c r="C122" s="68"/>
      <x:c r="D122" s="68"/>
      <x:c r="E122" s="70"/>
      <x:c r="F122" s="70"/>
      <x:c r="G122" s="70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 ht="15.75" customHeight="1">
      <x:c r="A123" s="68"/>
      <x:c r="B123" s="68"/>
      <x:c r="C123" s="68"/>
      <x:c r="D123" s="68"/>
      <x:c r="E123" s="70"/>
      <x:c r="F123" s="70"/>
      <x:c r="G123" s="70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 ht="15.75" customHeight="1">
      <x:c r="A124" s="68"/>
      <x:c r="B124" s="68"/>
      <x:c r="C124" s="68"/>
      <x:c r="D124" s="68"/>
      <x:c r="E124" s="70"/>
      <x:c r="F124" s="70"/>
      <x:c r="G124" s="70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 ht="15.75" customHeight="1">
      <x:c r="A125" s="68"/>
      <x:c r="B125" s="68"/>
      <x:c r="C125" s="68"/>
      <x:c r="D125" s="68"/>
      <x:c r="E125" s="70"/>
      <x:c r="F125" s="70"/>
      <x:c r="G125" s="70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 ht="15.75" customHeight="1">
      <x:c r="A126" s="68"/>
      <x:c r="B126" s="68"/>
      <x:c r="C126" s="68"/>
      <x:c r="D126" s="68"/>
      <x:c r="E126" s="70"/>
      <x:c r="F126" s="70"/>
      <x:c r="G126" s="70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 ht="15.75" customHeight="1">
      <x:c r="A127" s="68"/>
      <x:c r="B127" s="68"/>
      <x:c r="C127" s="68"/>
      <x:c r="D127" s="68"/>
      <x:c r="E127" s="70"/>
      <x:c r="F127" s="70"/>
      <x:c r="G127" s="70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 ht="15.75" customHeight="1">
      <x:c r="A128" s="68"/>
      <x:c r="B128" s="68"/>
      <x:c r="C128" s="68"/>
      <x:c r="D128" s="68"/>
      <x:c r="E128" s="70"/>
      <x:c r="F128" s="70"/>
      <x:c r="G128" s="70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 ht="15.75" customHeight="1">
      <x:c r="A129" s="68"/>
      <x:c r="B129" s="68"/>
      <x:c r="C129" s="68"/>
      <x:c r="D129" s="68"/>
      <x:c r="E129" s="70"/>
      <x:c r="F129" s="70"/>
      <x:c r="G129" s="70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 ht="15.75" customHeight="1">
      <x:c r="A130" s="68"/>
      <x:c r="B130" s="68"/>
      <x:c r="C130" s="68"/>
      <x:c r="D130" s="68"/>
      <x:c r="E130" s="70"/>
      <x:c r="F130" s="70"/>
      <x:c r="G130" s="70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 ht="15.75" customHeight="1">
      <x:c r="A131" s="68"/>
      <x:c r="B131" s="68"/>
      <x:c r="C131" s="68"/>
      <x:c r="D131" s="68"/>
      <x:c r="E131" s="70"/>
      <x:c r="F131" s="70"/>
      <x:c r="G131" s="70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 ht="15.75" customHeight="1">
      <x:c r="A132" s="68"/>
      <x:c r="B132" s="68"/>
      <x:c r="C132" s="68"/>
      <x:c r="D132" s="68"/>
      <x:c r="E132" s="70"/>
      <x:c r="F132" s="70"/>
      <x:c r="G132" s="70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 ht="15.75" customHeight="1">
      <x:c r="A133" s="68"/>
      <x:c r="B133" s="68"/>
      <x:c r="C133" s="68"/>
      <x:c r="D133" s="68"/>
      <x:c r="E133" s="70"/>
      <x:c r="F133" s="70"/>
      <x:c r="G133" s="70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 ht="15.75" customHeight="1">
      <x:c r="A134" s="68"/>
      <x:c r="B134" s="68"/>
      <x:c r="C134" s="68"/>
      <x:c r="D134" s="68"/>
      <x:c r="E134" s="70"/>
      <x:c r="F134" s="70"/>
      <x:c r="G134" s="70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 ht="15.75" customHeight="1">
      <x:c r="A135" s="68"/>
      <x:c r="B135" s="68"/>
      <x:c r="C135" s="68"/>
      <x:c r="D135" s="68"/>
      <x:c r="E135" s="70"/>
      <x:c r="F135" s="70"/>
      <x:c r="G135" s="70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 ht="15.75" customHeight="1">
      <x:c r="A136" s="68"/>
      <x:c r="B136" s="68"/>
      <x:c r="C136" s="68"/>
      <x:c r="D136" s="68"/>
      <x:c r="E136" s="70"/>
      <x:c r="F136" s="70"/>
      <x:c r="G136" s="70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 ht="15.75" customHeight="1">
      <x:c r="A137" s="68"/>
      <x:c r="B137" s="68"/>
      <x:c r="C137" s="68"/>
      <x:c r="D137" s="68"/>
      <x:c r="E137" s="70"/>
      <x:c r="F137" s="70"/>
      <x:c r="G137" s="70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 ht="15.75" customHeight="1">
      <x:c r="A138" s="68"/>
      <x:c r="B138" s="68"/>
      <x:c r="C138" s="68"/>
      <x:c r="D138" s="68"/>
      <x:c r="E138" s="70"/>
      <x:c r="F138" s="70"/>
      <x:c r="G138" s="70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 ht="15.75" customHeight="1">
      <x:c r="A139" s="68"/>
      <x:c r="B139" s="68"/>
      <x:c r="C139" s="68"/>
      <x:c r="D139" s="68"/>
      <x:c r="E139" s="70"/>
      <x:c r="F139" s="70"/>
      <x:c r="G139" s="70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 ht="15.75" customHeight="1">
      <x:c r="A140" s="68"/>
      <x:c r="B140" s="68"/>
      <x:c r="C140" s="68"/>
      <x:c r="D140" s="68"/>
      <x:c r="E140" s="70"/>
      <x:c r="F140" s="70"/>
      <x:c r="G140" s="70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 ht="15.75" customHeight="1">
      <x:c r="A141" s="68"/>
      <x:c r="B141" s="68"/>
      <x:c r="C141" s="68"/>
      <x:c r="D141" s="68"/>
      <x:c r="E141" s="70"/>
      <x:c r="F141" s="70"/>
      <x:c r="G141" s="70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 ht="15.75" customHeight="1">
      <x:c r="A142" s="68"/>
      <x:c r="B142" s="68"/>
      <x:c r="C142" s="68"/>
      <x:c r="D142" s="68"/>
      <x:c r="E142" s="70"/>
      <x:c r="F142" s="70"/>
      <x:c r="G142" s="70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 ht="15.75" customHeight="1">
      <x:c r="A143" s="68"/>
      <x:c r="B143" s="68"/>
      <x:c r="C143" s="68"/>
      <x:c r="D143" s="68"/>
      <x:c r="E143" s="70"/>
      <x:c r="F143" s="70"/>
      <x:c r="G143" s="70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 ht="15.75" customHeight="1">
      <x:c r="A144" s="68"/>
      <x:c r="B144" s="68"/>
      <x:c r="C144" s="68"/>
      <x:c r="D144" s="68"/>
      <x:c r="E144" s="70"/>
      <x:c r="F144" s="70"/>
      <x:c r="G144" s="70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 ht="15.75" customHeight="1">
      <x:c r="A145" s="68"/>
      <x:c r="B145" s="68"/>
      <x:c r="C145" s="68"/>
      <x:c r="D145" s="68"/>
      <x:c r="E145" s="70"/>
      <x:c r="F145" s="70"/>
      <x:c r="G145" s="70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 ht="15.75" customHeight="1">
      <x:c r="A146" s="68"/>
      <x:c r="B146" s="68"/>
      <x:c r="C146" s="68"/>
      <x:c r="D146" s="68"/>
      <x:c r="E146" s="70"/>
      <x:c r="F146" s="70"/>
      <x:c r="G146" s="70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 ht="15.75" customHeight="1">
      <x:c r="A147" s="68"/>
      <x:c r="B147" s="68"/>
      <x:c r="C147" s="68"/>
      <x:c r="D147" s="68"/>
      <x:c r="E147" s="70"/>
      <x:c r="F147" s="70"/>
      <x:c r="G147" s="70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 ht="15.75" customHeight="1">
      <x:c r="A148" s="68"/>
      <x:c r="B148" s="68"/>
      <x:c r="C148" s="68"/>
      <x:c r="D148" s="68"/>
      <x:c r="E148" s="70"/>
      <x:c r="F148" s="70"/>
      <x:c r="G148" s="70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 ht="15.75" customHeight="1">
      <x:c r="A149" s="68"/>
      <x:c r="B149" s="68"/>
      <x:c r="C149" s="68"/>
      <x:c r="D149" s="68"/>
      <x:c r="E149" s="70"/>
      <x:c r="F149" s="70"/>
      <x:c r="G149" s="70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 ht="15.75" customHeight="1">
      <x:c r="A150" s="68"/>
      <x:c r="B150" s="68"/>
      <x:c r="C150" s="68"/>
      <x:c r="D150" s="68"/>
      <x:c r="E150" s="70"/>
      <x:c r="F150" s="70"/>
      <x:c r="G150" s="70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 ht="15.75" customHeight="1">
      <x:c r="A151" s="68"/>
      <x:c r="B151" s="68"/>
      <x:c r="C151" s="68"/>
      <x:c r="D151" s="68"/>
      <x:c r="E151" s="70"/>
      <x:c r="F151" s="70"/>
      <x:c r="G151" s="70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 ht="15.75" customHeight="1">
      <x:c r="A152" s="68"/>
      <x:c r="B152" s="68"/>
      <x:c r="C152" s="68"/>
      <x:c r="D152" s="68"/>
      <x:c r="E152" s="70"/>
      <x:c r="F152" s="70"/>
      <x:c r="G152" s="70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 ht="15.75" customHeight="1">
      <x:c r="A153" s="68"/>
      <x:c r="B153" s="68"/>
      <x:c r="C153" s="68"/>
      <x:c r="D153" s="68"/>
      <x:c r="E153" s="70"/>
      <x:c r="F153" s="70"/>
      <x:c r="G153" s="70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 ht="15.75" customHeight="1">
      <x:c r="A154" s="68"/>
      <x:c r="B154" s="68"/>
      <x:c r="C154" s="68"/>
      <x:c r="D154" s="68"/>
      <x:c r="E154" s="70"/>
      <x:c r="F154" s="70"/>
      <x:c r="G154" s="70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 ht="15.75" customHeight="1">
      <x:c r="A155" s="68"/>
      <x:c r="B155" s="68"/>
      <x:c r="C155" s="68"/>
      <x:c r="D155" s="68"/>
      <x:c r="E155" s="70"/>
      <x:c r="F155" s="70"/>
      <x:c r="G155" s="70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 ht="15.75" customHeight="1">
      <x:c r="A156" s="68"/>
      <x:c r="B156" s="68"/>
      <x:c r="C156" s="68"/>
      <x:c r="D156" s="68"/>
      <x:c r="E156" s="70"/>
      <x:c r="F156" s="70"/>
      <x:c r="G156" s="70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 ht="15.75" customHeight="1">
      <x:c r="A157" s="68"/>
      <x:c r="B157" s="68"/>
      <x:c r="C157" s="68"/>
      <x:c r="D157" s="68"/>
      <x:c r="E157" s="70"/>
      <x:c r="F157" s="70"/>
      <x:c r="G157" s="70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 ht="15.75" customHeight="1">
      <x:c r="A158" s="68"/>
      <x:c r="B158" s="68"/>
      <x:c r="C158" s="68"/>
      <x:c r="D158" s="68"/>
      <x:c r="E158" s="70"/>
      <x:c r="F158" s="70"/>
      <x:c r="G158" s="70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 ht="15.75" customHeight="1">
      <x:c r="A159" s="68"/>
      <x:c r="B159" s="68"/>
      <x:c r="C159" s="68"/>
      <x:c r="D159" s="68"/>
      <x:c r="E159" s="70"/>
      <x:c r="F159" s="70"/>
      <x:c r="G159" s="70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 ht="15.75" customHeight="1">
      <x:c r="A160" s="68"/>
      <x:c r="B160" s="68"/>
      <x:c r="C160" s="68"/>
      <x:c r="D160" s="68"/>
      <x:c r="E160" s="70"/>
      <x:c r="F160" s="70"/>
      <x:c r="G160" s="70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 ht="15.75" customHeight="1">
      <x:c r="A161" s="68"/>
      <x:c r="B161" s="68"/>
      <x:c r="C161" s="68"/>
      <x:c r="D161" s="68"/>
      <x:c r="E161" s="70"/>
      <x:c r="F161" s="70"/>
      <x:c r="G161" s="70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 ht="15.75" customHeight="1">
      <x:c r="A162" s="68"/>
      <x:c r="B162" s="68"/>
      <x:c r="C162" s="68"/>
      <x:c r="D162" s="68"/>
      <x:c r="E162" s="70"/>
      <x:c r="F162" s="70"/>
      <x:c r="G162" s="70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 ht="15.75" customHeight="1">
      <x:c r="A163" s="68"/>
      <x:c r="B163" s="68"/>
      <x:c r="C163" s="68"/>
      <x:c r="D163" s="68"/>
      <x:c r="E163" s="70"/>
      <x:c r="F163" s="70"/>
      <x:c r="G163" s="70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 ht="15.75" customHeight="1">
      <x:c r="A164" s="68"/>
      <x:c r="B164" s="68"/>
      <x:c r="C164" s="68"/>
      <x:c r="D164" s="68"/>
      <x:c r="E164" s="70"/>
      <x:c r="F164" s="70"/>
      <x:c r="G164" s="70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 ht="15.75" customHeight="1">
      <x:c r="A165" s="68"/>
      <x:c r="B165" s="68"/>
      <x:c r="C165" s="68"/>
      <x:c r="D165" s="68"/>
      <x:c r="E165" s="70"/>
      <x:c r="F165" s="70"/>
      <x:c r="G165" s="70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 ht="15.75" customHeight="1">
      <x:c r="A166" s="68"/>
      <x:c r="B166" s="68"/>
      <x:c r="C166" s="68"/>
      <x:c r="D166" s="68"/>
      <x:c r="E166" s="70"/>
      <x:c r="F166" s="70"/>
      <x:c r="G166" s="70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 ht="15.75" customHeight="1">
      <x:c r="A167" s="68"/>
      <x:c r="B167" s="68"/>
      <x:c r="C167" s="68"/>
      <x:c r="D167" s="68"/>
      <x:c r="E167" s="70"/>
      <x:c r="F167" s="70"/>
      <x:c r="G167" s="70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 ht="15.75" customHeight="1">
      <x:c r="A168" s="68"/>
      <x:c r="B168" s="68"/>
      <x:c r="C168" s="68"/>
      <x:c r="D168" s="68"/>
      <x:c r="E168" s="70"/>
      <x:c r="F168" s="70"/>
      <x:c r="G168" s="70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 ht="15.75" customHeight="1">
      <x:c r="A169" s="68"/>
      <x:c r="B169" s="68"/>
      <x:c r="C169" s="68"/>
      <x:c r="D169" s="68"/>
      <x:c r="E169" s="70"/>
      <x:c r="F169" s="70"/>
      <x:c r="G169" s="70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 ht="15.75" customHeight="1">
      <x:c r="A170" s="68"/>
      <x:c r="B170" s="68"/>
      <x:c r="C170" s="68"/>
      <x:c r="D170" s="68"/>
      <x:c r="E170" s="70"/>
      <x:c r="F170" s="70"/>
      <x:c r="G170" s="70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 ht="15.75" customHeight="1">
      <x:c r="A171" s="68"/>
      <x:c r="B171" s="68"/>
      <x:c r="C171" s="68"/>
      <x:c r="D171" s="68"/>
      <x:c r="E171" s="70"/>
      <x:c r="F171" s="70"/>
      <x:c r="G171" s="70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 ht="15.75" customHeight="1">
      <x:c r="A172" s="68"/>
      <x:c r="B172" s="68"/>
      <x:c r="C172" s="68"/>
      <x:c r="D172" s="68"/>
      <x:c r="E172" s="70"/>
      <x:c r="F172" s="70"/>
      <x:c r="G172" s="70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 ht="15.75" customHeight="1">
      <x:c r="A173" s="68"/>
      <x:c r="B173" s="68"/>
      <x:c r="C173" s="68"/>
      <x:c r="D173" s="68"/>
      <x:c r="E173" s="70"/>
      <x:c r="F173" s="70"/>
      <x:c r="G173" s="70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 ht="15.75" customHeight="1">
      <x:c r="A174" s="68"/>
      <x:c r="B174" s="68"/>
      <x:c r="C174" s="68"/>
      <x:c r="D174" s="68"/>
      <x:c r="E174" s="70"/>
      <x:c r="F174" s="70"/>
      <x:c r="G174" s="70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 ht="15.75" customHeight="1">
      <x:c r="A175" s="68"/>
      <x:c r="B175" s="68"/>
      <x:c r="C175" s="68"/>
      <x:c r="D175" s="68"/>
      <x:c r="E175" s="70"/>
      <x:c r="F175" s="70"/>
      <x:c r="G175" s="70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 ht="15.75" customHeight="1">
      <x:c r="A176" s="68"/>
      <x:c r="B176" s="68"/>
      <x:c r="C176" s="68"/>
      <x:c r="D176" s="68"/>
      <x:c r="E176" s="70"/>
      <x:c r="F176" s="70"/>
      <x:c r="G176" s="70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 ht="15.75" customHeight="1">
      <x:c r="A177" s="68"/>
      <x:c r="B177" s="68"/>
      <x:c r="C177" s="68"/>
      <x:c r="D177" s="68"/>
      <x:c r="E177" s="70"/>
      <x:c r="F177" s="70"/>
      <x:c r="G177" s="70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 ht="15.75" customHeight="1">
      <x:c r="A178" s="68"/>
      <x:c r="B178" s="68"/>
      <x:c r="C178" s="68"/>
      <x:c r="D178" s="68"/>
      <x:c r="E178" s="70"/>
      <x:c r="F178" s="70"/>
      <x:c r="G178" s="70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 ht="15.75" customHeight="1">
      <x:c r="A179" s="68"/>
      <x:c r="B179" s="68"/>
      <x:c r="C179" s="68"/>
      <x:c r="D179" s="68"/>
      <x:c r="E179" s="70"/>
      <x:c r="F179" s="70"/>
      <x:c r="G179" s="70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 ht="15.75" customHeight="1">
      <x:c r="A180" s="68"/>
      <x:c r="B180" s="68"/>
      <x:c r="C180" s="68"/>
      <x:c r="D180" s="68"/>
      <x:c r="E180" s="70"/>
      <x:c r="F180" s="70"/>
      <x:c r="G180" s="70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 ht="15.75" customHeight="1">
      <x:c r="A181" s="68"/>
      <x:c r="B181" s="68"/>
      <x:c r="C181" s="68"/>
      <x:c r="D181" s="68"/>
      <x:c r="E181" s="70"/>
      <x:c r="F181" s="70"/>
      <x:c r="G181" s="70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 ht="15.75" customHeight="1">
      <x:c r="A182" s="68"/>
      <x:c r="B182" s="68"/>
      <x:c r="C182" s="68"/>
      <x:c r="D182" s="68"/>
      <x:c r="E182" s="70"/>
      <x:c r="F182" s="70"/>
      <x:c r="G182" s="70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 ht="15.75" customHeight="1">
      <x:c r="A183" s="68"/>
      <x:c r="B183" s="68"/>
      <x:c r="C183" s="68"/>
      <x:c r="D183" s="68"/>
      <x:c r="E183" s="70"/>
      <x:c r="F183" s="70"/>
      <x:c r="G183" s="70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 ht="15.75" customHeight="1">
      <x:c r="A184" s="68"/>
      <x:c r="B184" s="68"/>
      <x:c r="C184" s="68"/>
      <x:c r="D184" s="68"/>
      <x:c r="E184" s="70"/>
      <x:c r="F184" s="70"/>
      <x:c r="G184" s="70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 ht="15.75" customHeight="1">
      <x:c r="A185" s="68"/>
      <x:c r="B185" s="68"/>
      <x:c r="C185" s="68"/>
      <x:c r="D185" s="68"/>
      <x:c r="E185" s="70"/>
      <x:c r="F185" s="70"/>
      <x:c r="G185" s="70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 ht="15.75" customHeight="1">
      <x:c r="A186" s="68"/>
      <x:c r="B186" s="68"/>
      <x:c r="C186" s="68"/>
      <x:c r="D186" s="68"/>
      <x:c r="E186" s="70"/>
      <x:c r="F186" s="70"/>
      <x:c r="G186" s="70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 ht="15.75" customHeight="1">
      <x:c r="A187" s="68"/>
      <x:c r="B187" s="68"/>
      <x:c r="C187" s="68"/>
      <x:c r="D187" s="68"/>
      <x:c r="E187" s="70"/>
      <x:c r="F187" s="70"/>
      <x:c r="G187" s="70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 ht="15.75" customHeight="1">
      <x:c r="A188" s="68"/>
      <x:c r="B188" s="68"/>
      <x:c r="C188" s="68"/>
      <x:c r="D188" s="68"/>
      <x:c r="E188" s="70"/>
      <x:c r="F188" s="70"/>
      <x:c r="G188" s="70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 ht="15.75" customHeight="1">
      <x:c r="A189" s="68"/>
      <x:c r="B189" s="68"/>
      <x:c r="C189" s="68"/>
      <x:c r="D189" s="68"/>
      <x:c r="E189" s="70"/>
      <x:c r="F189" s="70"/>
      <x:c r="G189" s="70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 ht="15.75" customHeight="1">
      <x:c r="A190" s="68"/>
      <x:c r="B190" s="68"/>
      <x:c r="C190" s="68"/>
      <x:c r="D190" s="68"/>
      <x:c r="E190" s="70"/>
      <x:c r="F190" s="70"/>
      <x:c r="G190" s="70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 ht="15.75" customHeight="1">
      <x:c r="A191" s="68"/>
      <x:c r="B191" s="68"/>
      <x:c r="C191" s="68"/>
      <x:c r="D191" s="68"/>
      <x:c r="E191" s="70"/>
      <x:c r="F191" s="70"/>
      <x:c r="G191" s="70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 ht="15.75" customHeight="1">
      <x:c r="A192" s="68"/>
      <x:c r="B192" s="68"/>
      <x:c r="C192" s="68"/>
      <x:c r="D192" s="68"/>
      <x:c r="E192" s="70"/>
      <x:c r="F192" s="70"/>
      <x:c r="G192" s="70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 ht="15.75" customHeight="1">
      <x:c r="A193" s="68"/>
      <x:c r="B193" s="68"/>
      <x:c r="C193" s="68"/>
      <x:c r="D193" s="68"/>
      <x:c r="E193" s="70"/>
      <x:c r="F193" s="70"/>
      <x:c r="G193" s="70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 ht="15.75" customHeight="1">
      <x:c r="A194" s="68"/>
      <x:c r="B194" s="68"/>
      <x:c r="C194" s="68"/>
      <x:c r="D194" s="68"/>
      <x:c r="E194" s="70"/>
      <x:c r="F194" s="70"/>
      <x:c r="G194" s="70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 ht="15.75" customHeight="1">
      <x:c r="A195" s="68"/>
      <x:c r="B195" s="68"/>
      <x:c r="C195" s="68"/>
      <x:c r="D195" s="68"/>
      <x:c r="E195" s="70"/>
      <x:c r="F195" s="70"/>
      <x:c r="G195" s="70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 ht="15.75" customHeight="1">
      <x:c r="A196" s="68"/>
      <x:c r="B196" s="68"/>
      <x:c r="C196" s="68"/>
      <x:c r="D196" s="68"/>
      <x:c r="E196" s="70"/>
      <x:c r="F196" s="70"/>
      <x:c r="G196" s="70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 ht="15.75" customHeight="1">
      <x:c r="A197" s="68"/>
      <x:c r="B197" s="68"/>
      <x:c r="C197" s="68"/>
      <x:c r="D197" s="68"/>
      <x:c r="E197" s="70"/>
      <x:c r="F197" s="70"/>
      <x:c r="G197" s="70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 ht="15.75" customHeight="1">
      <x:c r="A198" s="68"/>
      <x:c r="B198" s="68"/>
      <x:c r="C198" s="68"/>
      <x:c r="D198" s="68"/>
      <x:c r="E198" s="70"/>
      <x:c r="F198" s="70"/>
      <x:c r="G198" s="70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 ht="15.75" customHeight="1">
      <x:c r="A199" s="68"/>
      <x:c r="B199" s="68"/>
      <x:c r="C199" s="68"/>
      <x:c r="D199" s="68"/>
      <x:c r="E199" s="70"/>
      <x:c r="F199" s="70"/>
      <x:c r="G199" s="70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 ht="15.75" customHeight="1">
      <x:c r="A200" s="68"/>
      <x:c r="B200" s="68"/>
      <x:c r="C200" s="68"/>
      <x:c r="D200" s="68"/>
      <x:c r="E200" s="70"/>
      <x:c r="F200" s="70"/>
      <x:c r="G200" s="70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  <x:row r="201" ht="15.75" customHeight="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 ht="15.75" customHeight="1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 ht="15.75" customHeight="1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 ht="15.75" customHeight="1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 ht="15.75" customHeight="1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 ht="15.75" customHeight="1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 ht="15.75" customHeight="1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 ht="15.75" customHeight="1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 ht="15.75" customHeight="1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 ht="15.75" customHeight="1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 ht="15.75" customHeight="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 ht="15.75" customHeight="1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 ht="15.75" customHeight="1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 ht="15.75" customHeight="1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 ht="15.75" customHeight="1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 ht="15.75" customHeight="1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 ht="15.75" customHeight="1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 ht="15.75" customHeight="1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 ht="15.75" customHeight="1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 ht="15.75" customHeight="1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 ht="15.75" customHeight="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 ht="15.75" customHeight="1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 ht="15.75" customHeight="1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 ht="15.75" customHeight="1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 ht="15.75" customHeight="1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 ht="15.75" customHeight="1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 ht="15.75" customHeight="1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 ht="15.75" customHeight="1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 ht="15.75" customHeight="1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 ht="15.75" customHeight="1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 ht="15.75" customHeight="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 ht="15.75" customHeight="1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 ht="15.75" customHeight="1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 ht="15.75" customHeight="1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 ht="15.75" customHeight="1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 ht="15.75" customHeight="1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 ht="15.75" customHeight="1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 ht="15.75" customHeight="1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 ht="15.75" customHeight="1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 ht="15.75" customHeight="1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 ht="15.75" customHeight="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 ht="15.75" customHeight="1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 ht="15.75" customHeight="1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 ht="15.75" customHeight="1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 ht="15.75" customHeight="1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 ht="15.75" customHeight="1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 ht="15.75" customHeight="1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 ht="15.75" customHeight="1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 ht="15.75" customHeight="1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 ht="15.75" customHeight="1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 ht="15.75" customHeight="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 ht="15.75" customHeight="1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 ht="15.75" customHeight="1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 ht="15.75" customHeight="1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 ht="15.75" customHeight="1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 ht="15.75" customHeight="1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 ht="15.75" customHeight="1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 ht="15.75" customHeight="1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 ht="15.75" customHeight="1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 ht="15.75" customHeight="1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 ht="15.75" customHeight="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 ht="15.75" customHeight="1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 ht="15.75" customHeight="1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 ht="15.75" customHeight="1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 ht="15.75" customHeight="1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 ht="15.75" customHeight="1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 ht="15.75" customHeight="1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 ht="15.75" customHeight="1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 ht="15.75" customHeight="1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 ht="15.75" customHeight="1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 ht="15.75" customHeight="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 ht="15.75" customHeight="1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 ht="15.75" customHeight="1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 ht="15.75" customHeight="1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 ht="15.75" customHeight="1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 ht="15.75" customHeight="1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 ht="15.75" customHeight="1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 ht="15.75" customHeight="1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 ht="15.75" customHeight="1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 ht="15.75" customHeight="1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 ht="15.75" customHeight="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 ht="15.75" customHeight="1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 ht="15.75" customHeight="1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 ht="15.75" customHeight="1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 ht="15.75" customHeight="1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 ht="15.75" customHeight="1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 ht="15.75" customHeight="1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 ht="15.75" customHeight="1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 ht="15.75" customHeight="1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 ht="15.75" customHeight="1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 ht="15.75" customHeight="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 ht="15.75" customHeight="1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 ht="15.75" customHeight="1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 ht="15.75" customHeight="1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 ht="15.75" customHeight="1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 ht="15.75" customHeight="1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 ht="15.75" customHeight="1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 ht="15.75" customHeight="1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 ht="15.75" customHeight="1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 ht="15.75" customHeight="1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H2:J200">
    <x:cfRule type="expression" dxfId="6" priority="1">
      <x:formula>OR(H2="Выполнено",H2="Готово",H2="Оплачен полностью",H2="Подписано")</x:formula>
    </x:cfRule>
  </x:conditionalFormatting>
  <x:conditionalFormatting sqref="H2:J200">
    <x:cfRule type="expression" dxfId="7" priority="2">
      <x:formula>OR(H2="Срочно",H2="Не оплачен")</x:formula>
    </x:cfRule>
  </x:conditionalFormatting>
  <x:conditionalFormatting sqref="H2:J200">
    <x:cfRule type="expression" dxfId="8" priority="3">
      <x:formula>OR(H2="В процессе",H2="Ожидаю","H2"="Депозит")</x:formula>
    </x:cfRule>
  </x:conditionalFormatting>
  <x:dataValidations count="10">
    <x:dataValidation type="list" allowBlank="1" sqref="J2:J200">
      <x:formula1>Lists!$B$2:$B$6</x:formula1>
    </x:dataValidation>
    <x:dataValidation type="list" allowBlank="1" sqref="H2:I200">
      <x:formula1>Lists!$C$2:$C$7</x:formula1>
    </x:dataValidation>
    <x:dataValidation type="list" sqref="E2:E101">
      <x:formula1>Lists!$F$2:$F$5</x:formula1>
    </x:dataValidation>
    <x:dataValidation type="list" sqref="I2:I101">
      <x:formula1>Lists!$B$2:$B$6</x:formula1>
    </x:dataValidation>
    <x:dataValidation type="list" sqref="J2:J101">
      <x:formula1>Lists!$C$2:$C$7</x:formula1>
    </x:dataValidation>
    <x:dataValidation type="list" sqref="K2:K101">
      <x:formula1>Lists!$C$2:$C$7</x:formula1>
    </x:dataValidation>
    <x:dataValidation type="list" sqref="L2:L101">
      <x:formula1>Lists!$C$2:$C$7</x:formula1>
    </x:dataValidation>
    <x:dataValidation type="list" sqref="M2:M101">
      <x:formula1>Lists!$C$2:$C$7</x:formula1>
    </x:dataValidation>
    <x:dataValidation type="list" sqref="N2:N101">
      <x:formula1>Lists!$C$2:$C$7</x:formula1>
    </x:dataValidation>
    <x:dataValidation type="list" sqref="O2:O101">
      <x:formula1>Lists!$C$2:$C$7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d43cc7332164e70"/>
    <x:tablePart xmlns:r="http://schemas.openxmlformats.org/officeDocument/2006/relationships" r:id="R59f7aa40272b467f"/>
  </x:tableParts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22" hidden="0" customWidth="1"/>
    <x:col min="2" max="5" width="8.630000114440918" customWidth="1"/>
    <x:col min="6" max="6" width="42" hidden="0" customWidth="1"/>
    <x:col min="7" max="26" width="8.630000114440918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66" t="str">
        <x:v>Задача</x:v>
      </x:c>
      <x:c r="B1" s="66" t="str">
        <x:v>Срок</x:v>
      </x:c>
      <x:c r="C1" s="66" t="str">
        <x:v>Приоритет</x:v>
      </x:c>
      <x:c r="D1" s="66" t="str">
        <x:v>Статус</x:v>
      </x:c>
      <x:c r="E1" s="66" t="str">
        <x:v>Ответственная</x:v>
      </x:c>
      <x:c r="F1" s="66" t="str">
        <x:v>Комментарий</x:v>
      </x:c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68" t="str">
        <x:v>Получить доступ к R+V Kreditportal</x:v>
      </x:c>
      <x:c r="B2" s="81"/>
      <x:c r="C2" s="68" t="str">
        <x:v>Срочно</x:v>
      </x:c>
      <x:c r="D2" s="68" t="str">
        <x:v>В процессе</x:v>
      </x:c>
      <x:c r="E2" s="68" t="str">
        <x:v>Наталия</x:v>
      </x:c>
      <x:c r="F2" s="68" t="str">
        <x:v>Для Sicherungsscheine</x:v>
      </x:c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68" t="str">
        <x:v>Скачать Sicherungsscheine для участниц</x:v>
      </x:c>
      <x:c r="B3" s="81"/>
      <x:c r="C3" s="68" t="str">
        <x:v>Срочно</x:v>
      </x:c>
      <x:c r="D3" s="68" t="str">
        <x:v>Не начато</x:v>
      </x:c>
      <x:c r="E3" s="68" t="str">
        <x:v>Наталия</x:v>
      </x:c>
      <x:c r="F3" s="68" t="str">
        <x:v>После доступа к порталу</x:v>
      </x:c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8" t="str">
        <x:v>Обновить сайт юридическими документами</x:v>
      </x:c>
      <x:c r="B4" s="81"/>
      <x:c r="C4" s="68" t="str">
        <x:v>Высокий</x:v>
      </x:c>
      <x:c r="D4" s="68" t="str">
        <x:v>Не начато</x:v>
      </x:c>
      <x:c r="E4" s="68" t="str">
        <x:v>Наталия</x:v>
      </x:c>
      <x:c r="F4" s="68" t="str">
        <x:v>Impressum, Datenschutz, Vertrag, Sicherungsschein</x:v>
      </x:c>
      <x:c r="G4" s="68"/>
      <x:c r="H4" s="68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68" t="str">
        <x:v>Финализировать Teilnahmevertrag</x:v>
      </x:c>
      <x:c r="B5" s="81"/>
      <x:c r="C5" s="68" t="str">
        <x:v>Высокий</x:v>
      </x:c>
      <x:c r="D5" s="68" t="str">
        <x:v>В процессе</x:v>
      </x:c>
      <x:c r="E5" s="68" t="str">
        <x:v>Наталия</x:v>
      </x:c>
      <x:c r="F5" s="68" t="str">
        <x:v>Перед подписанием с участницами</x:v>
      </x:c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68" t="str">
        <x:v>Подписать договоры с участницами</x:v>
      </x:c>
      <x:c r="B6" s="81"/>
      <x:c r="C6" s="68" t="str">
        <x:v>Высокий</x:v>
      </x:c>
      <x:c r="D6" s="68" t="str">
        <x:v>Не начато</x:v>
      </x:c>
      <x:c r="E6" s="68" t="str">
        <x:v>Наталия</x:v>
      </x:c>
      <x:c r="F6" s="68" t="str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68" t="str">
        <x:v>Собрать 13 участниц</x:v>
      </x:c>
      <x:c r="B7" s="81"/>
      <x:c r="C7" s="68" t="str">
        <x:v>Высокий</x:v>
      </x:c>
      <x:c r="D7" s="68" t="str">
        <x:v>В процессе</x:v>
      </x:c>
      <x:c r="E7" s="68" t="str">
        <x:v>Наталия</x:v>
      </x:c>
      <x:c r="F7" s="68" t="str">
        <x:v>Сейчас 10 / 13</x:v>
      </x:c>
      <x:c r="G7" s="68"/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68" t="str">
        <x:v>Запустить Instagram рекламу</x:v>
      </x:c>
      <x:c r="B8" s="81"/>
      <x:c r="C8" s="68" t="str">
        <x:v>Средний</x:v>
      </x:c>
      <x:c r="D8" s="68" t="str">
        <x:v>Не начато</x:v>
      </x:c>
      <x:c r="E8" s="68" t="str">
        <x:v>Наталия</x:v>
      </x:c>
      <x:c r="F8" s="68" t="str">
        <x:v>После финального пакета документов</x:v>
      </x:c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68" t="str">
        <x:v>Подтвердить виллу и условия оплаты</x:v>
      </x:c>
      <x:c r="B9" s="81"/>
      <x:c r="C9" s="68" t="str">
        <x:v>Высокий</x:v>
      </x:c>
      <x:c r="D9" s="68" t="str">
        <x:v>Выполнено</x:v>
      </x:c>
      <x:c r="E9" s="68" t="str">
        <x:v>Наталия</x:v>
      </x:c>
      <x:c r="F9" s="68" t="str">
        <x:v>Villa reserviert</x:v>
      </x:c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68" t="str">
        <x:v>Подтвердить трансфер</x:v>
      </x:c>
      <x:c r="B10" s="81"/>
      <x:c r="C10" s="68" t="str">
        <x:v>Средний</x:v>
      </x:c>
      <x:c r="D10" s="68" t="str">
        <x:v>Выполнено</x:v>
      </x:c>
      <x:c r="E10" s="68" t="str">
        <x:v>Наталия</x:v>
      </x:c>
      <x:c r="F10" s="68" t="str"/>
      <x:c r="G10" s="68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68" t="str">
        <x:v>Подтвердить фотографа</x:v>
      </x:c>
      <x:c r="B11" s="81"/>
      <x:c r="C11" s="68" t="str">
        <x:v>Средний</x:v>
      </x:c>
      <x:c r="D11" s="68" t="str">
        <x:v>Выполнено</x:v>
      </x:c>
      <x:c r="E11" s="68" t="str">
        <x:v>Наталия</x:v>
      </x:c>
      <x:c r="F11" s="68" t="str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68" t="str">
        <x:v>Согласовать кейтеринг</x:v>
      </x:c>
      <x:c r="B12" s="81"/>
      <x:c r="C12" s="68" t="str">
        <x:v>Средний</x:v>
      </x:c>
      <x:c r="D12" s="68" t="str">
        <x:v>В процессе</x:v>
      </x:c>
      <x:c r="E12" s="68" t="str">
        <x:v>Наталия</x:v>
      </x:c>
      <x:c r="F12" s="68" t="str">
        <x:v>200€ + 35€/чел.</x:v>
      </x:c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68" t="str">
        <x:v>Согласовать экскурсию на ферму</x:v>
      </x:c>
      <x:c r="B13" s="81"/>
      <x:c r="C13" s="68" t="str">
        <x:v>Средний</x:v>
      </x:c>
      <x:c r="D13" s="68" t="str">
        <x:v>В процессе</x:v>
      </x:c>
      <x:c r="E13" s="68" t="str">
        <x:v>Наталия</x:v>
      </x:c>
      <x:c r="F13" s="68" t="str"/>
      <x:c r="G13" s="68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68"/>
      <x:c r="B14" s="81"/>
      <x:c r="C14" s="68"/>
      <x:c r="D14" s="68"/>
      <x:c r="E14" s="68"/>
      <x:c r="F14" s="68"/>
      <x:c r="G14" s="68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68"/>
      <x:c r="B15" s="81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68"/>
      <x:c r="B16" s="81"/>
      <x:c r="C16" s="68"/>
      <x:c r="D16" s="68"/>
      <x:c r="E16" s="68"/>
      <x:c r="F16" s="68"/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68"/>
      <x:c r="B17" s="81"/>
      <x:c r="C17" s="68"/>
      <x:c r="D17" s="68"/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68"/>
      <x:c r="B18" s="81"/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68"/>
      <x:c r="B19" s="81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68"/>
      <x:c r="B20" s="81"/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 ht="15.75" customHeight="1">
      <x:c r="A21" s="68"/>
      <x:c r="B21" s="81"/>
      <x:c r="C21" s="68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 ht="15.75" customHeight="1">
      <x:c r="A22" s="68"/>
      <x:c r="B22" s="81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 ht="15.75" customHeight="1">
      <x:c r="A23" s="68"/>
      <x:c r="B23" s="81"/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 ht="15.75" customHeight="1">
      <x:c r="A24" s="68"/>
      <x:c r="B24" s="81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 ht="15.75" customHeight="1">
      <x:c r="A25" s="68"/>
      <x:c r="B25" s="81"/>
      <x:c r="C25" s="68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 ht="15.75" customHeight="1">
      <x:c r="A26" s="68"/>
      <x:c r="B26" s="81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 ht="15.75" customHeight="1">
      <x:c r="A27" s="68"/>
      <x:c r="B27" s="81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 ht="15.75" customHeight="1">
      <x:c r="A28" s="68"/>
      <x:c r="B28" s="81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 ht="15.75" customHeight="1">
      <x:c r="A29" s="68"/>
      <x:c r="B29" s="81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 ht="15.75" customHeight="1">
      <x:c r="A30" s="68"/>
      <x:c r="B30" s="81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 ht="15.75" customHeight="1">
      <x:c r="A31" s="68"/>
      <x:c r="B31" s="81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 ht="15.75" customHeight="1">
      <x:c r="A32" s="68"/>
      <x:c r="B32" s="81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 ht="15.75" customHeight="1">
      <x:c r="A33" s="68"/>
      <x:c r="B33" s="81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 ht="15.75" customHeight="1">
      <x:c r="A34" s="68"/>
      <x:c r="B34" s="81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 ht="15.75" customHeight="1">
      <x:c r="A35" s="68"/>
      <x:c r="B35" s="81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 ht="15.75" customHeight="1">
      <x:c r="A36" s="68"/>
      <x:c r="B36" s="81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 ht="15.75" customHeight="1">
      <x:c r="A37" s="68"/>
      <x:c r="B37" s="81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 ht="15.75" customHeight="1">
      <x:c r="A38" s="68"/>
      <x:c r="B38" s="81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 ht="15.75" customHeight="1">
      <x:c r="A39" s="68"/>
      <x:c r="B39" s="81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 ht="15.75" customHeight="1">
      <x:c r="A40" s="68"/>
      <x:c r="B40" s="81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 ht="15.75" customHeight="1">
      <x:c r="A41" s="68"/>
      <x:c r="B41" s="81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 ht="15.75" customHeight="1">
      <x:c r="A42" s="68"/>
      <x:c r="B42" s="81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 ht="15.75" customHeight="1">
      <x:c r="A43" s="68"/>
      <x:c r="B43" s="81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 ht="15.75" customHeight="1">
      <x:c r="A44" s="68"/>
      <x:c r="B44" s="81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 ht="15.75" customHeight="1">
      <x:c r="A45" s="68"/>
      <x:c r="B45" s="81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 ht="15.75" customHeight="1">
      <x:c r="A46" s="68"/>
      <x:c r="B46" s="81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 ht="15.75" customHeight="1">
      <x:c r="A47" s="68"/>
      <x:c r="B47" s="81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 ht="15.75" customHeight="1">
      <x:c r="A48" s="68"/>
      <x:c r="B48" s="81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 ht="15.75" customHeight="1">
      <x:c r="A49" s="68"/>
      <x:c r="B49" s="81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 ht="15.75" customHeight="1">
      <x:c r="A50" s="68"/>
      <x:c r="B50" s="81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 ht="15.75" customHeight="1">
      <x:c r="A51" s="68"/>
      <x:c r="B51" s="81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 ht="15.75" customHeight="1">
      <x:c r="A52" s="68"/>
      <x:c r="B52" s="81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 ht="15.75" customHeight="1">
      <x:c r="A53" s="68"/>
      <x:c r="B53" s="81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 ht="15.75" customHeight="1">
      <x:c r="A54" s="68"/>
      <x:c r="B54" s="81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 ht="15.75" customHeight="1">
      <x:c r="A55" s="68"/>
      <x:c r="B55" s="81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 ht="15.75" customHeight="1">
      <x:c r="A56" s="68"/>
      <x:c r="B56" s="81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 ht="15.75" customHeight="1">
      <x:c r="A57" s="68"/>
      <x:c r="B57" s="81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 ht="15.75" customHeight="1">
      <x:c r="A58" s="68"/>
      <x:c r="B58" s="81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 ht="15.75" customHeight="1">
      <x:c r="A59" s="68"/>
      <x:c r="B59" s="81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 ht="15.75" customHeight="1">
      <x:c r="A60" s="68"/>
      <x:c r="B60" s="81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 ht="15.75" customHeight="1">
      <x:c r="A61" s="68"/>
      <x:c r="B61" s="81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 ht="15.75" customHeight="1">
      <x:c r="A62" s="68"/>
      <x:c r="B62" s="81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 ht="15.75" customHeight="1">
      <x:c r="A63" s="68"/>
      <x:c r="B63" s="81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 ht="15.75" customHeight="1">
      <x:c r="A64" s="68"/>
      <x:c r="B64" s="81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 ht="15.75" customHeight="1">
      <x:c r="A65" s="68"/>
      <x:c r="B65" s="81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 ht="15.75" customHeight="1">
      <x:c r="A66" s="68"/>
      <x:c r="B66" s="81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 ht="15.75" customHeight="1">
      <x:c r="A67" s="68"/>
      <x:c r="B67" s="81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 ht="15.75" customHeight="1">
      <x:c r="A68" s="68"/>
      <x:c r="B68" s="81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 ht="15.75" customHeight="1">
      <x:c r="A69" s="68"/>
      <x:c r="B69" s="81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 ht="15.75" customHeight="1">
      <x:c r="A70" s="68"/>
      <x:c r="B70" s="81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 ht="15.75" customHeight="1">
      <x:c r="A71" s="68"/>
      <x:c r="B71" s="81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 ht="15.75" customHeight="1">
      <x:c r="A72" s="68"/>
      <x:c r="B72" s="81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 ht="15.75" customHeight="1">
      <x:c r="A73" s="68"/>
      <x:c r="B73" s="81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 ht="15.75" customHeight="1">
      <x:c r="A74" s="68"/>
      <x:c r="B74" s="81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 ht="15.75" customHeight="1">
      <x:c r="A75" s="68"/>
      <x:c r="B75" s="81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 ht="15.75" customHeight="1">
      <x:c r="A76" s="68"/>
      <x:c r="B76" s="81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 ht="15.75" customHeight="1">
      <x:c r="A77" s="68"/>
      <x:c r="B77" s="81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 ht="15.75" customHeight="1">
      <x:c r="A78" s="68"/>
      <x:c r="B78" s="81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 ht="15.75" customHeight="1">
      <x:c r="A79" s="68"/>
      <x:c r="B79" s="81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 ht="15.75" customHeight="1">
      <x:c r="A80" s="68"/>
      <x:c r="B80" s="81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 ht="15.75" customHeight="1">
      <x:c r="A81" s="68"/>
      <x:c r="B81" s="81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 ht="15.75" customHeight="1">
      <x:c r="A82" s="68"/>
      <x:c r="B82" s="81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 ht="15.75" customHeight="1">
      <x:c r="A83" s="68"/>
      <x:c r="B83" s="81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 ht="15.75" customHeight="1">
      <x:c r="A84" s="68"/>
      <x:c r="B84" s="81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 ht="15.75" customHeight="1">
      <x:c r="A85" s="68"/>
      <x:c r="B85" s="81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 ht="15.75" customHeight="1">
      <x:c r="A86" s="68"/>
      <x:c r="B86" s="81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 ht="15.75" customHeight="1">
      <x:c r="A87" s="68"/>
      <x:c r="B87" s="81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 ht="15.75" customHeight="1">
      <x:c r="A88" s="68"/>
      <x:c r="B88" s="81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 ht="15.75" customHeight="1">
      <x:c r="A89" s="68"/>
      <x:c r="B89" s="81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 ht="15.75" customHeight="1">
      <x:c r="A90" s="68"/>
      <x:c r="B90" s="81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 ht="15.75" customHeight="1">
      <x:c r="A91" s="68"/>
      <x:c r="B91" s="81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 ht="15.75" customHeight="1">
      <x:c r="A92" s="68"/>
      <x:c r="B92" s="81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 ht="15.75" customHeight="1">
      <x:c r="A93" s="68"/>
      <x:c r="B93" s="81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 ht="15.75" customHeight="1">
      <x:c r="A94" s="68"/>
      <x:c r="B94" s="81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 ht="15.75" customHeight="1">
      <x:c r="A95" s="68"/>
      <x:c r="B95" s="81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 ht="15.75" customHeight="1">
      <x:c r="A96" s="68"/>
      <x:c r="B96" s="81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 ht="15.75" customHeight="1">
      <x:c r="A97" s="68"/>
      <x:c r="B97" s="81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 ht="15.75" customHeight="1">
      <x:c r="A98" s="68"/>
      <x:c r="B98" s="81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 ht="15.75" customHeight="1">
      <x:c r="A99" s="68"/>
      <x:c r="B99" s="81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 ht="15.75" customHeight="1">
      <x:c r="A100" s="68"/>
      <x:c r="B100" s="81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 ht="15.75" customHeight="1">
      <x:c r="A101" s="68"/>
      <x:c r="B101" s="81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 ht="15.75" customHeight="1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 ht="15.75" customHeight="1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 ht="15.75" customHeight="1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 ht="15.75" customHeight="1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 ht="15.75" customHeight="1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 ht="15.75" customHeight="1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 ht="15.75" customHeight="1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 ht="15.75" customHeight="1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 ht="15.75" customHeight="1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 ht="15.75" customHeight="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 ht="15.75" customHeight="1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 ht="15.75" customHeight="1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 ht="15.75" customHeight="1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 ht="15.75" customHeight="1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 ht="15.75" customHeight="1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 ht="15.75" customHeight="1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 ht="15.75" customHeight="1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 ht="15.75" customHeight="1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 ht="15.75" customHeight="1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 ht="15.75" customHeight="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 ht="15.75" customHeight="1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 ht="15.75" customHeight="1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 ht="15.75" customHeight="1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 ht="15.75" customHeight="1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 ht="15.75" customHeight="1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 ht="15.75" customHeight="1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 ht="15.75" customHeight="1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 ht="15.75" customHeight="1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 ht="15.75" customHeight="1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 ht="15.75" customHeight="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 ht="15.75" customHeight="1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 ht="15.75" customHeight="1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 ht="15.75" customHeight="1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 ht="15.75" customHeight="1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 ht="15.75" customHeight="1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 ht="15.75" customHeight="1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 ht="15.75" customHeight="1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 ht="15.75" customHeight="1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 ht="15.75" customHeight="1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 ht="15.75" customHeight="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 ht="15.75" customHeight="1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 ht="15.75" customHeight="1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 ht="15.75" customHeight="1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 ht="15.75" customHeight="1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 ht="15.75" customHeight="1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 ht="15.75" customHeight="1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 ht="15.75" customHeight="1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 ht="15.75" customHeight="1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 ht="15.75" customHeight="1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 ht="15.75" customHeight="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 ht="15.75" customHeight="1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 ht="15.75" customHeight="1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 ht="15.75" customHeight="1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 ht="15.75" customHeight="1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 ht="15.75" customHeight="1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 ht="15.75" customHeight="1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 ht="15.75" customHeight="1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 ht="15.75" customHeight="1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 ht="15.75" customHeight="1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 ht="15.75" customHeight="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 ht="15.75" customHeight="1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 ht="15.75" customHeight="1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 ht="15.75" customHeight="1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 ht="15.75" customHeight="1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 ht="15.75" customHeight="1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 ht="15.75" customHeight="1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 ht="15.75" customHeight="1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 ht="15.75" customHeight="1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 ht="15.75" customHeight="1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 ht="15.75" customHeight="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 ht="15.75" customHeight="1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 ht="15.75" customHeight="1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 ht="15.75" customHeight="1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 ht="15.75" customHeight="1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 ht="15.75" customHeight="1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 ht="15.75" customHeight="1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 ht="15.75" customHeight="1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 ht="15.75" customHeight="1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 ht="15.75" customHeight="1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 ht="15.75" customHeight="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 ht="15.75" customHeight="1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 ht="15.75" customHeight="1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 ht="15.75" customHeight="1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 ht="15.75" customHeight="1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 ht="15.75" customHeight="1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 ht="15.75" customHeight="1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 ht="15.75" customHeight="1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 ht="15.75" customHeight="1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 ht="15.75" customHeight="1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 ht="15.75" customHeight="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 ht="15.75" customHeight="1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 ht="15.75" customHeight="1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 ht="15.75" customHeight="1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 ht="15.75" customHeight="1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 ht="15.75" customHeight="1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 ht="15.75" customHeight="1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 ht="15.75" customHeight="1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 ht="15.75" customHeight="1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 ht="15.75" customHeight="1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  <x:row r="201" ht="15.75" customHeight="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 ht="15.75" customHeight="1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 ht="15.75" customHeight="1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 ht="15.75" customHeight="1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 ht="15.75" customHeight="1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 ht="15.75" customHeight="1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 ht="15.75" customHeight="1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 ht="15.75" customHeight="1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 ht="15.75" customHeight="1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 ht="15.75" customHeight="1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 ht="15.75" customHeight="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 ht="15.75" customHeight="1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 ht="15.75" customHeight="1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 ht="15.75" customHeight="1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 ht="15.75" customHeight="1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 ht="15.75" customHeight="1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 ht="15.75" customHeight="1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 ht="15.75" customHeight="1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 ht="15.75" customHeight="1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 ht="15.75" customHeight="1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 ht="15.75" customHeight="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 ht="15.75" customHeight="1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 ht="15.75" customHeight="1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 ht="15.75" customHeight="1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 ht="15.75" customHeight="1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 ht="15.75" customHeight="1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 ht="15.75" customHeight="1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 ht="15.75" customHeight="1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 ht="15.75" customHeight="1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 ht="15.75" customHeight="1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 ht="15.75" customHeight="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 ht="15.75" customHeight="1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 ht="15.75" customHeight="1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 ht="15.75" customHeight="1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 ht="15.75" customHeight="1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 ht="15.75" customHeight="1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 ht="15.75" customHeight="1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 ht="15.75" customHeight="1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 ht="15.75" customHeight="1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 ht="15.75" customHeight="1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 ht="15.75" customHeight="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 ht="15.75" customHeight="1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 ht="15.75" customHeight="1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 ht="15.75" customHeight="1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 ht="15.75" customHeight="1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 ht="15.75" customHeight="1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 ht="15.75" customHeight="1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 ht="15.75" customHeight="1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 ht="15.75" customHeight="1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 ht="15.75" customHeight="1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 ht="15.75" customHeight="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 ht="15.75" customHeight="1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 ht="15.75" customHeight="1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 ht="15.75" customHeight="1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 ht="15.75" customHeight="1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 ht="15.75" customHeight="1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 ht="15.75" customHeight="1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 ht="15.75" customHeight="1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 ht="15.75" customHeight="1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 ht="15.75" customHeight="1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 ht="15.75" customHeight="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 ht="15.75" customHeight="1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 ht="15.75" customHeight="1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 ht="15.75" customHeight="1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 ht="15.75" customHeight="1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 ht="15.75" customHeight="1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 ht="15.75" customHeight="1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 ht="15.75" customHeight="1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 ht="15.75" customHeight="1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 ht="15.75" customHeight="1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 ht="15.75" customHeight="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 ht="15.75" customHeight="1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 ht="15.75" customHeight="1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 ht="15.75" customHeight="1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 ht="15.75" customHeight="1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 ht="15.75" customHeight="1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 ht="15.75" customHeight="1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 ht="15.75" customHeight="1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 ht="15.75" customHeight="1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 ht="15.75" customHeight="1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 ht="15.75" customHeight="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 ht="15.75" customHeight="1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 ht="15.75" customHeight="1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 ht="15.75" customHeight="1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 ht="15.75" customHeight="1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 ht="15.75" customHeight="1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 ht="15.75" customHeight="1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 ht="15.75" customHeight="1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 ht="15.75" customHeight="1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 ht="15.75" customHeight="1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 ht="15.75" customHeight="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 ht="15.75" customHeight="1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 ht="15.75" customHeight="1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 ht="15.75" customHeight="1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 ht="15.75" customHeight="1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 ht="15.75" customHeight="1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 ht="15.75" customHeight="1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 ht="15.75" customHeight="1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 ht="15.75" customHeight="1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 ht="15.75" customHeight="1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D2:D200">
    <x:cfRule type="expression" dxfId="6" priority="1">
      <x:formula>OR(D2="Выполнено",D2="Готово",D2="Оплачен полностью",D2="Подписано")</x:formula>
    </x:cfRule>
  </x:conditionalFormatting>
  <x:conditionalFormatting sqref="D2:D200">
    <x:cfRule type="expression" dxfId="7" priority="2">
      <x:formula>OR(D2="Срочно",D2="Не оплачен")</x:formula>
    </x:cfRule>
  </x:conditionalFormatting>
  <x:conditionalFormatting sqref="D2:D200">
    <x:cfRule type="expression" dxfId="8" priority="3">
      <x:formula>OR(D2="В процессе",D2="Ожидаю","D2"="Депозит")</x:formula>
    </x:cfRule>
  </x:conditionalFormatting>
  <x:dataValidations count="4">
    <x:dataValidation type="list" allowBlank="1" sqref="D2:D200">
      <x:formula1>Lists!$A$2:$A$5</x:formula1>
    </x:dataValidation>
    <x:dataValidation type="list" allowBlank="1" sqref="C2:C200">
      <x:formula1>Lists!$D$2:$D$5</x:formula1>
    </x:dataValidation>
    <x:dataValidation type="list" sqref="C2:C101">
      <x:formula1>Lists!$E$2:$E$5</x:formula1>
    </x:dataValidation>
    <x:dataValidation type="list" sqref="D2:D101">
      <x:formula1>Lists!$D$2:$D$5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21cff1d9c4be47fa"/>
    <x:tablePart xmlns:r="http://schemas.openxmlformats.org/officeDocument/2006/relationships" r:id="Rce4b0afb36fd42a5"/>
  </x:tableParts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32" hidden="0" customWidth="1"/>
    <x:col min="2" max="5" width="8.630000114440918" customWidth="1"/>
    <x:col min="6" max="7" width="34" customWidth="1"/>
    <x:col min="8" max="26" width="8.630000114440918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6" hidden="0" customWidth="1"/>
  </x:cols>
  <x:sheetData>
    <x:row r="1">
      <x:c r="A1" s="66" t="str">
        <x:v>Документ / вопрос</x:v>
      </x:c>
      <x:c r="B1" s="66" t="str">
        <x:v>Тип</x:v>
      </x:c>
      <x:c r="C1" s="66" t="str">
        <x:v>Статус</x:v>
      </x:c>
      <x:c r="D1" s="66" t="str">
        <x:v>Ответственный</x:v>
      </x:c>
      <x:c r="E1" s="66" t="str">
        <x:v>Дата</x:v>
      </x:c>
      <x:c r="F1" s="66" t="str">
        <x:v>Номер / ссылка</x:v>
      </x:c>
      <x:c r="G1" s="66" t="str">
        <x:v>Комментарий</x:v>
      </x:c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68" t="str">
        <x:v>Gewerbeanmeldung / Erweiterung Tätigkeit</x:v>
      </x:c>
      <x:c r="B2" s="68" t="str">
        <x:v>Регистрация</x:v>
      </x:c>
      <x:c r="C2" s="68" t="str">
        <x:v>Готово</x:v>
      </x:c>
      <x:c r="D2" s="68" t="str">
        <x:v>Наталия</x:v>
      </x:c>
      <x:c r="E2" s="81"/>
      <x:c r="F2" s="68" t="str"/>
      <x:c r="G2" s="68" t="str">
        <x:v>Вид деятельности добавлен</x:v>
      </x:c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68" t="str">
        <x:v>Reiseveranstalter-Haftpflicht TAS/R+V</x:v>
      </x:c>
      <x:c r="B3" s="68" t="str">
        <x:v>Страховка</x:v>
      </x:c>
      <x:c r="C3" s="68" t="str">
        <x:v>Готово</x:v>
      </x:c>
      <x:c r="D3" s="68" t="str">
        <x:v>TAS / R+V</x:v>
      </x:c>
      <x:c r="E3" s="81" t="n">
        <x:v>46204</x:v>
      </x:c>
      <x:c r="F3" s="68" t="str">
        <x:v>29 027766757</x:v>
      </x:c>
      <x:c r="G3" s="68" t="str">
        <x:v>Полис получен</x:v>
      </x:c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8" t="str">
        <x:v>Kundengeldabsicherung R+V</x:v>
      </x:c>
      <x:c r="B4" s="68" t="str">
        <x:v>Страховка</x:v>
      </x:c>
      <x:c r="C4" s="68" t="str">
        <x:v>Готово</x:v>
      </x:c>
      <x:c r="D4" s="68" t="str">
        <x:v>R+V</x:v>
      </x:c>
      <x:c r="E4" s="81" t="n">
        <x:v>46204</x:v>
      </x:c>
      <x:c r="F4" s="68" t="str">
        <x:v>050/90/101126030</x:v>
      </x:c>
      <x:c r="G4" s="68" t="str">
        <x:v>Kautionsversicherung / Sicherungsschein</x:v>
      </x:c>
      <x:c r="H4" s="68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68" t="str">
        <x:v>R+V Kreditportal Zugang</x:v>
      </x:c>
      <x:c r="B5" s="68" t="str">
        <x:v>Портал</x:v>
      </x:c>
      <x:c r="C5" s="68" t="str">
        <x:v>В процессе</x:v>
      </x:c>
      <x:c r="D5" s="68" t="str">
        <x:v>R+V</x:v>
      </x:c>
      <x:c r="E5" s="81"/>
      <x:c r="F5" s="68" t="str"/>
      <x:c r="G5" s="68" t="str">
        <x:v>Ждём Benutzerkennung</x:v>
      </x:c>
      <x:c r="H5" s="68"/>
      <x:c r="I5" s="68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68" t="str">
        <x:v>Creditreform</x:v>
      </x:c>
      <x:c r="B6" s="68" t="str">
        <x:v>Проверка</x:v>
      </x:c>
      <x:c r="C6" s="68" t="str">
        <x:v>В процессе</x:v>
      </x:c>
      <x:c r="D6" s="68" t="str">
        <x:v>Creditreform</x:v>
      </x:c>
      <x:c r="E6" s="81"/>
      <x:c r="F6" s="68" t="str"/>
      <x:c r="G6" s="68" t="str">
        <x:v>Анкета / профиль компании</x:v>
      </x:c>
      <x:c r="H6" s="68"/>
      <x:c r="I6" s="68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68" t="str">
        <x:v>Teilnahmevertrag</x:v>
      </x:c>
      <x:c r="B7" s="68" t="str">
        <x:v>Договор</x:v>
      </x:c>
      <x:c r="C7" s="68" t="str">
        <x:v>В процессе</x:v>
      </x:c>
      <x:c r="D7" s="68" t="str">
        <x:v>Наталия</x:v>
      </x:c>
      <x:c r="E7" s="81"/>
      <x:c r="F7" s="68" t="str"/>
      <x:c r="G7" s="68" t="str">
        <x:v>Финализировать перед сайтом</x:v>
      </x:c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68" t="str">
        <x:v>Gesundheitsfragebogen</x:v>
      </x:c>
      <x:c r="B8" s="68" t="str">
        <x:v>Анкета</x:v>
      </x:c>
      <x:c r="C8" s="68" t="str">
        <x:v>Готово</x:v>
      </x:c>
      <x:c r="D8" s="68" t="str">
        <x:v>Наталия</x:v>
      </x:c>
      <x:c r="E8" s="81"/>
      <x:c r="F8" s="68" t="str"/>
      <x:c r="G8" s="68" t="str">
        <x:v>DE/RU</x:v>
      </x:c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68" t="str">
        <x:v>Foto-/Video-Einwilligung</x:v>
      </x:c>
      <x:c r="B9" s="68" t="str">
        <x:v>Согласие</x:v>
      </x:c>
      <x:c r="C9" s="68" t="str">
        <x:v>Готово</x:v>
      </x:c>
      <x:c r="D9" s="68" t="str">
        <x:v>Наталия</x:v>
      </x:c>
      <x:c r="E9" s="81"/>
      <x:c r="F9" s="68" t="str"/>
      <x:c r="G9" s="68" t="str">
        <x:v>DSGVO отдельно от договора</x:v>
      </x:c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68" t="str">
        <x:v>Website Rechtliches</x:v>
      </x:c>
      <x:c r="B10" s="68" t="str">
        <x:v>Сайт</x:v>
      </x:c>
      <x:c r="C10" s="68" t="str">
        <x:v>В процессе</x:v>
      </x:c>
      <x:c r="D10" s="68" t="str">
        <x:v>Наталия</x:v>
      </x:c>
      <x:c r="E10" s="81"/>
      <x:c r="F10" s="68" t="str"/>
      <x:c r="G10" s="68" t="str">
        <x:v>После Sicherungsschein</x:v>
      </x:c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68"/>
      <x:c r="B11" s="68"/>
      <x:c r="C11" s="68"/>
      <x:c r="D11" s="68"/>
      <x:c r="E11" s="81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68"/>
      <x:c r="B12" s="68"/>
      <x:c r="C12" s="68"/>
      <x:c r="D12" s="68"/>
      <x:c r="E12" s="81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68"/>
      <x:c r="B13" s="68"/>
      <x:c r="C13" s="68"/>
      <x:c r="D13" s="68"/>
      <x:c r="E13" s="81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68"/>
      <x:c r="B14" s="68"/>
      <x:c r="C14" s="68"/>
      <x:c r="D14" s="68"/>
      <x:c r="E14" s="81"/>
      <x:c r="F14" s="68"/>
      <x:c r="G14" s="68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68"/>
      <x:c r="B15" s="68"/>
      <x:c r="C15" s="68"/>
      <x:c r="D15" s="68"/>
      <x:c r="E15" s="81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68"/>
      <x:c r="B16" s="68"/>
      <x:c r="C16" s="68"/>
      <x:c r="D16" s="68"/>
      <x:c r="E16" s="81"/>
      <x:c r="F16" s="68"/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68"/>
      <x:c r="B17" s="68"/>
      <x:c r="C17" s="68"/>
      <x:c r="D17" s="68"/>
      <x:c r="E17" s="81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68"/>
      <x:c r="B18" s="68"/>
      <x:c r="C18" s="68"/>
      <x:c r="D18" s="68"/>
      <x:c r="E18" s="81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68"/>
      <x:c r="B19" s="68"/>
      <x:c r="C19" s="68"/>
      <x:c r="D19" s="68"/>
      <x:c r="E19" s="81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68"/>
      <x:c r="B20" s="68"/>
      <x:c r="C20" s="68"/>
      <x:c r="D20" s="68"/>
      <x:c r="E20" s="81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 ht="15.75" customHeight="1">
      <x:c r="A21" s="68"/>
      <x:c r="B21" s="68"/>
      <x:c r="C21" s="68"/>
      <x:c r="D21" s="68"/>
      <x:c r="E21" s="81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 ht="15.75" customHeight="1">
      <x:c r="A22" s="68"/>
      <x:c r="B22" s="68"/>
      <x:c r="C22" s="68"/>
      <x:c r="D22" s="68"/>
      <x:c r="E22" s="81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 ht="15.75" customHeight="1">
      <x:c r="A23" s="68"/>
      <x:c r="B23" s="68"/>
      <x:c r="C23" s="68"/>
      <x:c r="D23" s="68"/>
      <x:c r="E23" s="81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 ht="15.75" customHeight="1">
      <x:c r="A24" s="68"/>
      <x:c r="B24" s="68"/>
      <x:c r="C24" s="68"/>
      <x:c r="D24" s="68"/>
      <x:c r="E24" s="81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 ht="15.75" customHeight="1">
      <x:c r="A25" s="68"/>
      <x:c r="B25" s="68"/>
      <x:c r="C25" s="68"/>
      <x:c r="D25" s="68"/>
      <x:c r="E25" s="81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 ht="15.75" customHeight="1">
      <x:c r="A26" s="68"/>
      <x:c r="B26" s="68"/>
      <x:c r="C26" s="68"/>
      <x:c r="D26" s="68"/>
      <x:c r="E26" s="81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 ht="15.75" customHeight="1">
      <x:c r="A27" s="68"/>
      <x:c r="B27" s="68"/>
      <x:c r="C27" s="68"/>
      <x:c r="D27" s="68"/>
      <x:c r="E27" s="81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 ht="15.75" customHeight="1">
      <x:c r="A28" s="68"/>
      <x:c r="B28" s="68"/>
      <x:c r="C28" s="68"/>
      <x:c r="D28" s="68"/>
      <x:c r="E28" s="81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 ht="15.75" customHeight="1">
      <x:c r="A29" s="68"/>
      <x:c r="B29" s="68"/>
      <x:c r="C29" s="68"/>
      <x:c r="D29" s="68"/>
      <x:c r="E29" s="81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 ht="15.75" customHeight="1">
      <x:c r="A30" s="68"/>
      <x:c r="B30" s="68"/>
      <x:c r="C30" s="68"/>
      <x:c r="D30" s="68"/>
      <x:c r="E30" s="81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 ht="15.75" customHeight="1">
      <x:c r="A31" s="68"/>
      <x:c r="B31" s="68"/>
      <x:c r="C31" s="68"/>
      <x:c r="D31" s="68"/>
      <x:c r="E31" s="81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 ht="15.75" customHeight="1">
      <x:c r="A32" s="68"/>
      <x:c r="B32" s="68"/>
      <x:c r="C32" s="68"/>
      <x:c r="D32" s="68"/>
      <x:c r="E32" s="81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 ht="15.75" customHeight="1">
      <x:c r="A33" s="68"/>
      <x:c r="B33" s="68"/>
      <x:c r="C33" s="68"/>
      <x:c r="D33" s="68"/>
      <x:c r="E33" s="81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 ht="15.75" customHeight="1">
      <x:c r="A34" s="68"/>
      <x:c r="B34" s="68"/>
      <x:c r="C34" s="68"/>
      <x:c r="D34" s="68"/>
      <x:c r="E34" s="81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 ht="15.75" customHeight="1">
      <x:c r="A35" s="68"/>
      <x:c r="B35" s="68"/>
      <x:c r="C35" s="68"/>
      <x:c r="D35" s="68"/>
      <x:c r="E35" s="81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 ht="15.75" customHeight="1">
      <x:c r="A36" s="68"/>
      <x:c r="B36" s="68"/>
      <x:c r="C36" s="68"/>
      <x:c r="D36" s="68"/>
      <x:c r="E36" s="81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 ht="15.75" customHeight="1">
      <x:c r="A37" s="68"/>
      <x:c r="B37" s="68"/>
      <x:c r="C37" s="68"/>
      <x:c r="D37" s="68"/>
      <x:c r="E37" s="81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 ht="15.75" customHeight="1">
      <x:c r="A38" s="68"/>
      <x:c r="B38" s="68"/>
      <x:c r="C38" s="68"/>
      <x:c r="D38" s="68"/>
      <x:c r="E38" s="81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 ht="15.75" customHeight="1">
      <x:c r="A39" s="68"/>
      <x:c r="B39" s="68"/>
      <x:c r="C39" s="68"/>
      <x:c r="D39" s="68"/>
      <x:c r="E39" s="81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 ht="15.75" customHeight="1">
      <x:c r="A40" s="68"/>
      <x:c r="B40" s="68"/>
      <x:c r="C40" s="68"/>
      <x:c r="D40" s="68"/>
      <x:c r="E40" s="81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 ht="15.75" customHeight="1">
      <x:c r="A41" s="68"/>
      <x:c r="B41" s="68"/>
      <x:c r="C41" s="68"/>
      <x:c r="D41" s="68"/>
      <x:c r="E41" s="81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 ht="15.75" customHeight="1">
      <x:c r="A42" s="68"/>
      <x:c r="B42" s="68"/>
      <x:c r="C42" s="68"/>
      <x:c r="D42" s="68"/>
      <x:c r="E42" s="81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 ht="15.75" customHeight="1">
      <x:c r="A43" s="68"/>
      <x:c r="B43" s="68"/>
      <x:c r="C43" s="68"/>
      <x:c r="D43" s="68"/>
      <x:c r="E43" s="81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 ht="15.75" customHeight="1">
      <x:c r="A44" s="68"/>
      <x:c r="B44" s="68"/>
      <x:c r="C44" s="68"/>
      <x:c r="D44" s="68"/>
      <x:c r="E44" s="81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 ht="15.75" customHeight="1">
      <x:c r="A45" s="68"/>
      <x:c r="B45" s="68"/>
      <x:c r="C45" s="68"/>
      <x:c r="D45" s="68"/>
      <x:c r="E45" s="81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 ht="15.75" customHeight="1">
      <x:c r="A46" s="68"/>
      <x:c r="B46" s="68"/>
      <x:c r="C46" s="68"/>
      <x:c r="D46" s="68"/>
      <x:c r="E46" s="81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 ht="15.75" customHeight="1">
      <x:c r="A47" s="68"/>
      <x:c r="B47" s="68"/>
      <x:c r="C47" s="68"/>
      <x:c r="D47" s="68"/>
      <x:c r="E47" s="81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 ht="15.75" customHeight="1">
      <x:c r="A48" s="68"/>
      <x:c r="B48" s="68"/>
      <x:c r="C48" s="68"/>
      <x:c r="D48" s="68"/>
      <x:c r="E48" s="81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 ht="15.75" customHeight="1">
      <x:c r="A49" s="68"/>
      <x:c r="B49" s="68"/>
      <x:c r="C49" s="68"/>
      <x:c r="D49" s="68"/>
      <x:c r="E49" s="81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 ht="15.75" customHeight="1">
      <x:c r="A50" s="68"/>
      <x:c r="B50" s="68"/>
      <x:c r="C50" s="68"/>
      <x:c r="D50" s="68"/>
      <x:c r="E50" s="81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 ht="15.75" customHeight="1">
      <x:c r="A51" s="68"/>
      <x:c r="B51" s="68"/>
      <x:c r="C51" s="68"/>
      <x:c r="D51" s="68"/>
      <x:c r="E51" s="81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 ht="15.75" customHeight="1">
      <x:c r="A52" s="68"/>
      <x:c r="B52" s="68"/>
      <x:c r="C52" s="68"/>
      <x:c r="D52" s="68"/>
      <x:c r="E52" s="81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 ht="15.75" customHeight="1">
      <x:c r="A53" s="68"/>
      <x:c r="B53" s="68"/>
      <x:c r="C53" s="68"/>
      <x:c r="D53" s="68"/>
      <x:c r="E53" s="81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 ht="15.75" customHeight="1">
      <x:c r="A54" s="68"/>
      <x:c r="B54" s="68"/>
      <x:c r="C54" s="68"/>
      <x:c r="D54" s="68"/>
      <x:c r="E54" s="81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 ht="15.75" customHeight="1">
      <x:c r="A55" s="68"/>
      <x:c r="B55" s="68"/>
      <x:c r="C55" s="68"/>
      <x:c r="D55" s="68"/>
      <x:c r="E55" s="81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 ht="15.75" customHeight="1">
      <x:c r="A56" s="68"/>
      <x:c r="B56" s="68"/>
      <x:c r="C56" s="68"/>
      <x:c r="D56" s="68"/>
      <x:c r="E56" s="81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 ht="15.75" customHeight="1">
      <x:c r="A57" s="68"/>
      <x:c r="B57" s="68"/>
      <x:c r="C57" s="68"/>
      <x:c r="D57" s="68"/>
      <x:c r="E57" s="81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 ht="15.75" customHeight="1">
      <x:c r="A58" s="68"/>
      <x:c r="B58" s="68"/>
      <x:c r="C58" s="68"/>
      <x:c r="D58" s="68"/>
      <x:c r="E58" s="81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 ht="15.75" customHeight="1">
      <x:c r="A59" s="68"/>
      <x:c r="B59" s="68"/>
      <x:c r="C59" s="68"/>
      <x:c r="D59" s="68"/>
      <x:c r="E59" s="81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 ht="15.75" customHeight="1">
      <x:c r="A60" s="68"/>
      <x:c r="B60" s="68"/>
      <x:c r="C60" s="68"/>
      <x:c r="D60" s="68"/>
      <x:c r="E60" s="81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 ht="15.75" customHeight="1">
      <x:c r="A61" s="68"/>
      <x:c r="B61" s="68"/>
      <x:c r="C61" s="68"/>
      <x:c r="D61" s="68"/>
      <x:c r="E61" s="81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 ht="15.75" customHeight="1">
      <x:c r="A62" s="68"/>
      <x:c r="B62" s="68"/>
      <x:c r="C62" s="68"/>
      <x:c r="D62" s="68"/>
      <x:c r="E62" s="81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 ht="15.75" customHeight="1">
      <x:c r="A63" s="68"/>
      <x:c r="B63" s="68"/>
      <x:c r="C63" s="68"/>
      <x:c r="D63" s="68"/>
      <x:c r="E63" s="81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 ht="15.75" customHeight="1">
      <x:c r="A64" s="68"/>
      <x:c r="B64" s="68"/>
      <x:c r="C64" s="68"/>
      <x:c r="D64" s="68"/>
      <x:c r="E64" s="81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 ht="15.75" customHeight="1">
      <x:c r="A65" s="68"/>
      <x:c r="B65" s="68"/>
      <x:c r="C65" s="68"/>
      <x:c r="D65" s="68"/>
      <x:c r="E65" s="81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 ht="15.75" customHeight="1">
      <x:c r="A66" s="68"/>
      <x:c r="B66" s="68"/>
      <x:c r="C66" s="68"/>
      <x:c r="D66" s="68"/>
      <x:c r="E66" s="81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 ht="15.75" customHeight="1">
      <x:c r="A67" s="68"/>
      <x:c r="B67" s="68"/>
      <x:c r="C67" s="68"/>
      <x:c r="D67" s="68"/>
      <x:c r="E67" s="81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 ht="15.75" customHeight="1">
      <x:c r="A68" s="68"/>
      <x:c r="B68" s="68"/>
      <x:c r="C68" s="68"/>
      <x:c r="D68" s="68"/>
      <x:c r="E68" s="81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 ht="15.75" customHeight="1">
      <x:c r="A69" s="68"/>
      <x:c r="B69" s="68"/>
      <x:c r="C69" s="68"/>
      <x:c r="D69" s="68"/>
      <x:c r="E69" s="81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 ht="15.75" customHeight="1">
      <x:c r="A70" s="68"/>
      <x:c r="B70" s="68"/>
      <x:c r="C70" s="68"/>
      <x:c r="D70" s="68"/>
      <x:c r="E70" s="81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 ht="15.75" customHeight="1">
      <x:c r="A71" s="68"/>
      <x:c r="B71" s="68"/>
      <x:c r="C71" s="68"/>
      <x:c r="D71" s="68"/>
      <x:c r="E71" s="81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 ht="15.75" customHeight="1">
      <x:c r="A72" s="68"/>
      <x:c r="B72" s="68"/>
      <x:c r="C72" s="68"/>
      <x:c r="D72" s="68"/>
      <x:c r="E72" s="81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 ht="15.75" customHeight="1">
      <x:c r="A73" s="68"/>
      <x:c r="B73" s="68"/>
      <x:c r="C73" s="68"/>
      <x:c r="D73" s="68"/>
      <x:c r="E73" s="81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 ht="15.75" customHeight="1">
      <x:c r="A74" s="68"/>
      <x:c r="B74" s="68"/>
      <x:c r="C74" s="68"/>
      <x:c r="D74" s="68"/>
      <x:c r="E74" s="81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 ht="15.75" customHeight="1">
      <x:c r="A75" s="68"/>
      <x:c r="B75" s="68"/>
      <x:c r="C75" s="68"/>
      <x:c r="D75" s="68"/>
      <x:c r="E75" s="81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 ht="15.75" customHeight="1">
      <x:c r="A76" s="68"/>
      <x:c r="B76" s="68"/>
      <x:c r="C76" s="68"/>
      <x:c r="D76" s="68"/>
      <x:c r="E76" s="81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 ht="15.75" customHeight="1">
      <x:c r="A77" s="68"/>
      <x:c r="B77" s="68"/>
      <x:c r="C77" s="68"/>
      <x:c r="D77" s="68"/>
      <x:c r="E77" s="81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 ht="15.75" customHeight="1">
      <x:c r="A78" s="68"/>
      <x:c r="B78" s="68"/>
      <x:c r="C78" s="68"/>
      <x:c r="D78" s="68"/>
      <x:c r="E78" s="81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 ht="15.75" customHeight="1">
      <x:c r="A79" s="68"/>
      <x:c r="B79" s="68"/>
      <x:c r="C79" s="68"/>
      <x:c r="D79" s="68"/>
      <x:c r="E79" s="81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 ht="15.75" customHeight="1">
      <x:c r="A80" s="68"/>
      <x:c r="B80" s="68"/>
      <x:c r="C80" s="68"/>
      <x:c r="D80" s="68"/>
      <x:c r="E80" s="81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 ht="15.75" customHeight="1">
      <x:c r="A81" s="68"/>
      <x:c r="B81" s="68"/>
      <x:c r="C81" s="68"/>
      <x:c r="D81" s="68"/>
      <x:c r="E81" s="81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 ht="15.75" customHeight="1">
      <x:c r="A82" s="68"/>
      <x:c r="B82" s="68"/>
      <x:c r="C82" s="68"/>
      <x:c r="D82" s="68"/>
      <x:c r="E82" s="81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 ht="15.75" customHeight="1">
      <x:c r="A83" s="68"/>
      <x:c r="B83" s="68"/>
      <x:c r="C83" s="68"/>
      <x:c r="D83" s="68"/>
      <x:c r="E83" s="81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 ht="15.75" customHeight="1">
      <x:c r="A84" s="68"/>
      <x:c r="B84" s="68"/>
      <x:c r="C84" s="68"/>
      <x:c r="D84" s="68"/>
      <x:c r="E84" s="81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 ht="15.75" customHeight="1">
      <x:c r="A85" s="68"/>
      <x:c r="B85" s="68"/>
      <x:c r="C85" s="68"/>
      <x:c r="D85" s="68"/>
      <x:c r="E85" s="81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 ht="15.75" customHeight="1">
      <x:c r="A86" s="68"/>
      <x:c r="B86" s="68"/>
      <x:c r="C86" s="68"/>
      <x:c r="D86" s="68"/>
      <x:c r="E86" s="81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 ht="15.75" customHeight="1">
      <x:c r="A87" s="68"/>
      <x:c r="B87" s="68"/>
      <x:c r="C87" s="68"/>
      <x:c r="D87" s="68"/>
      <x:c r="E87" s="81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 ht="15.75" customHeight="1">
      <x:c r="A88" s="68"/>
      <x:c r="B88" s="68"/>
      <x:c r="C88" s="68"/>
      <x:c r="D88" s="68"/>
      <x:c r="E88" s="81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 ht="15.75" customHeight="1">
      <x:c r="A89" s="68"/>
      <x:c r="B89" s="68"/>
      <x:c r="C89" s="68"/>
      <x:c r="D89" s="68"/>
      <x:c r="E89" s="81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 ht="15.75" customHeight="1">
      <x:c r="A90" s="68"/>
      <x:c r="B90" s="68"/>
      <x:c r="C90" s="68"/>
      <x:c r="D90" s="68"/>
      <x:c r="E90" s="81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 ht="15.75" customHeight="1">
      <x:c r="A91" s="68"/>
      <x:c r="B91" s="68"/>
      <x:c r="C91" s="68"/>
      <x:c r="D91" s="68"/>
      <x:c r="E91" s="81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 ht="15.75" customHeight="1">
      <x:c r="A92" s="68"/>
      <x:c r="B92" s="68"/>
      <x:c r="C92" s="68"/>
      <x:c r="D92" s="68"/>
      <x:c r="E92" s="81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 ht="15.75" customHeight="1">
      <x:c r="A93" s="68"/>
      <x:c r="B93" s="68"/>
      <x:c r="C93" s="68"/>
      <x:c r="D93" s="68"/>
      <x:c r="E93" s="81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 ht="15.75" customHeight="1">
      <x:c r="A94" s="68"/>
      <x:c r="B94" s="68"/>
      <x:c r="C94" s="68"/>
      <x:c r="D94" s="68"/>
      <x:c r="E94" s="81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 ht="15.75" customHeight="1">
      <x:c r="A95" s="68"/>
      <x:c r="B95" s="68"/>
      <x:c r="C95" s="68"/>
      <x:c r="D95" s="68"/>
      <x:c r="E95" s="81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 ht="15.75" customHeight="1">
      <x:c r="A96" s="68"/>
      <x:c r="B96" s="68"/>
      <x:c r="C96" s="68"/>
      <x:c r="D96" s="68"/>
      <x:c r="E96" s="81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 ht="15.75" customHeight="1">
      <x:c r="A97" s="68"/>
      <x:c r="B97" s="68"/>
      <x:c r="C97" s="68"/>
      <x:c r="D97" s="68"/>
      <x:c r="E97" s="81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 ht="15.75" customHeight="1">
      <x:c r="A98" s="68"/>
      <x:c r="B98" s="68"/>
      <x:c r="C98" s="68"/>
      <x:c r="D98" s="68"/>
      <x:c r="E98" s="81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 ht="15.75" customHeight="1">
      <x:c r="A99" s="68"/>
      <x:c r="B99" s="68"/>
      <x:c r="C99" s="68"/>
      <x:c r="D99" s="68"/>
      <x:c r="E99" s="81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 ht="15.75" customHeight="1">
      <x:c r="A100" s="68"/>
      <x:c r="B100" s="68"/>
      <x:c r="C100" s="68"/>
      <x:c r="D100" s="68"/>
      <x:c r="E100" s="81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 ht="15.75" customHeight="1">
      <x:c r="A101" s="68"/>
      <x:c r="B101" s="68"/>
      <x:c r="C101" s="68"/>
      <x:c r="D101" s="68"/>
      <x:c r="E101" s="81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 ht="15.75" customHeight="1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 ht="15.75" customHeight="1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 ht="15.75" customHeight="1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 ht="15.75" customHeight="1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 ht="15.75" customHeight="1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 ht="15.75" customHeight="1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 ht="15.75" customHeight="1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 ht="15.75" customHeight="1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 ht="15.75" customHeight="1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 ht="15.75" customHeight="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 ht="15.75" customHeight="1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 ht="15.75" customHeight="1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 ht="15.75" customHeight="1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 ht="15.75" customHeight="1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 ht="15.75" customHeight="1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 ht="15.75" customHeight="1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 ht="15.75" customHeight="1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 ht="15.75" customHeight="1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 ht="15.75" customHeight="1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 ht="15.75" customHeight="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 ht="15.75" customHeight="1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 ht="15.75" customHeight="1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 ht="15.75" customHeight="1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 ht="15.75" customHeight="1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 ht="15.75" customHeight="1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 ht="15.75" customHeight="1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 ht="15.75" customHeight="1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 ht="15.75" customHeight="1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 ht="15.75" customHeight="1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 ht="15.75" customHeight="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 ht="15.75" customHeight="1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 ht="15.75" customHeight="1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 ht="15.75" customHeight="1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 ht="15.75" customHeight="1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 ht="15.75" customHeight="1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 ht="15.75" customHeight="1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 ht="15.75" customHeight="1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 ht="15.75" customHeight="1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 ht="15.75" customHeight="1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 ht="15.75" customHeight="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 ht="15.75" customHeight="1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 ht="15.75" customHeight="1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 ht="15.75" customHeight="1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 ht="15.75" customHeight="1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 ht="15.75" customHeight="1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 ht="15.75" customHeight="1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 ht="15.75" customHeight="1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 ht="15.75" customHeight="1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 ht="15.75" customHeight="1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 ht="15.75" customHeight="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 ht="15.75" customHeight="1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 ht="15.75" customHeight="1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 ht="15.75" customHeight="1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 ht="15.75" customHeight="1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 ht="15.75" customHeight="1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 ht="15.75" customHeight="1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 ht="15.75" customHeight="1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 ht="15.75" customHeight="1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 ht="15.75" customHeight="1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 ht="15.75" customHeight="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 ht="15.75" customHeight="1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 ht="15.75" customHeight="1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 ht="15.75" customHeight="1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 ht="15.75" customHeight="1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 ht="15.75" customHeight="1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 ht="15.75" customHeight="1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 ht="15.75" customHeight="1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 ht="15.75" customHeight="1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 ht="15.75" customHeight="1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 ht="15.75" customHeight="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 ht="15.75" customHeight="1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 ht="15.75" customHeight="1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 ht="15.75" customHeight="1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 ht="15.75" customHeight="1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 ht="15.75" customHeight="1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 ht="15.75" customHeight="1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 ht="15.75" customHeight="1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 ht="15.75" customHeight="1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 ht="15.75" customHeight="1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 ht="15.75" customHeight="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 ht="15.75" customHeight="1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 ht="15.75" customHeight="1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 ht="15.75" customHeight="1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 ht="15.75" customHeight="1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 ht="15.75" customHeight="1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 ht="15.75" customHeight="1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 ht="15.75" customHeight="1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 ht="15.75" customHeight="1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 ht="15.75" customHeight="1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 ht="15.75" customHeight="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 ht="15.75" customHeight="1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 ht="15.75" customHeight="1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 ht="15.75" customHeight="1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 ht="15.75" customHeight="1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 ht="15.75" customHeight="1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 ht="15.75" customHeight="1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 ht="15.75" customHeight="1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 ht="15.75" customHeight="1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 ht="15.75" customHeight="1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  <x:row r="201" ht="15.75" customHeight="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 ht="15.75" customHeight="1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 ht="15.75" customHeight="1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 ht="15.75" customHeight="1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 ht="15.75" customHeight="1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 ht="15.75" customHeight="1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 ht="15.75" customHeight="1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 ht="15.75" customHeight="1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 ht="15.75" customHeight="1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 ht="15.75" customHeight="1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 ht="15.75" customHeight="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 ht="15.75" customHeight="1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 ht="15.75" customHeight="1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 ht="15.75" customHeight="1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 ht="15.75" customHeight="1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 ht="15.75" customHeight="1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 ht="15.75" customHeight="1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 ht="15.75" customHeight="1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 ht="15.75" customHeight="1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 ht="15.75" customHeight="1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 ht="15.75" customHeight="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 ht="15.75" customHeight="1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 ht="15.75" customHeight="1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 ht="15.75" customHeight="1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 ht="15.75" customHeight="1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 ht="15.75" customHeight="1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 ht="15.75" customHeight="1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 ht="15.75" customHeight="1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 ht="15.75" customHeight="1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 ht="15.75" customHeight="1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 ht="15.75" customHeight="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 ht="15.75" customHeight="1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 ht="15.75" customHeight="1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 ht="15.75" customHeight="1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 ht="15.75" customHeight="1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 ht="15.75" customHeight="1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 ht="15.75" customHeight="1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 ht="15.75" customHeight="1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 ht="15.75" customHeight="1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 ht="15.75" customHeight="1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 ht="15.75" customHeight="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 ht="15.75" customHeight="1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 ht="15.75" customHeight="1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 ht="15.75" customHeight="1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 ht="15.75" customHeight="1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 ht="15.75" customHeight="1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 ht="15.75" customHeight="1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 ht="15.75" customHeight="1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 ht="15.75" customHeight="1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 ht="15.75" customHeight="1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 ht="15.75" customHeight="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 ht="15.75" customHeight="1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 ht="15.75" customHeight="1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 ht="15.75" customHeight="1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 ht="15.75" customHeight="1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 ht="15.75" customHeight="1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 ht="15.75" customHeight="1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 ht="15.75" customHeight="1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 ht="15.75" customHeight="1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 ht="15.75" customHeight="1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 ht="15.75" customHeight="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 ht="15.75" customHeight="1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 ht="15.75" customHeight="1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 ht="15.75" customHeight="1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 ht="15.75" customHeight="1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 ht="15.75" customHeight="1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 ht="15.75" customHeight="1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 ht="15.75" customHeight="1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 ht="15.75" customHeight="1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 ht="15.75" customHeight="1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 ht="15.75" customHeight="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 ht="15.75" customHeight="1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 ht="15.75" customHeight="1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 ht="15.75" customHeight="1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 ht="15.75" customHeight="1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 ht="15.75" customHeight="1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 ht="15.75" customHeight="1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 ht="15.75" customHeight="1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 ht="15.75" customHeight="1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 ht="15.75" customHeight="1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 ht="15.75" customHeight="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 ht="15.75" customHeight="1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 ht="15.75" customHeight="1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 ht="15.75" customHeight="1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 ht="15.75" customHeight="1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 ht="15.75" customHeight="1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 ht="15.75" customHeight="1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 ht="15.75" customHeight="1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 ht="15.75" customHeight="1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 ht="15.75" customHeight="1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 ht="15.75" customHeight="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 ht="15.75" customHeight="1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 ht="15.75" customHeight="1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 ht="15.75" customHeight="1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 ht="15.75" customHeight="1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 ht="15.75" customHeight="1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 ht="15.75" customHeight="1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 ht="15.75" customHeight="1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 ht="15.75" customHeight="1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 ht="15.75" customHeight="1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C2:C200">
    <x:cfRule type="expression" dxfId="6" priority="1">
      <x:formula>OR(C2="Выполнено",C2="Готово",C2="Оплачен полностью",C2="Подписано")</x:formula>
    </x:cfRule>
  </x:conditionalFormatting>
  <x:conditionalFormatting sqref="C2:C200">
    <x:cfRule type="expression" dxfId="7" priority="2">
      <x:formula>OR(C2="Срочно",C2="Не оплачен")</x:formula>
    </x:cfRule>
  </x:conditionalFormatting>
  <x:conditionalFormatting sqref="C2:C200">
    <x:cfRule type="expression" dxfId="8" priority="3">
      <x:formula>OR(C2="В процессе",C2="Ожидаю","C2"="Депозит")</x:formula>
    </x:cfRule>
  </x:conditionalFormatting>
  <x:dataValidations count="2">
    <x:dataValidation type="list" allowBlank="1" sqref="C2:C200">
      <x:formula1>Lists!$C$2:$C$7</x:formula1>
    </x:dataValidation>
    <x:dataValidation type="list" sqref="C2:C101">
      <x:formula1>Lists!$C$2:$C$7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d1039f07d43a471c"/>
    <x:tablePart xmlns:r="http://schemas.openxmlformats.org/officeDocument/2006/relationships" r:id="R60de2e152c564f15"/>
  </x:tableParts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4" width="20" customWidth="1"/>
    <x:col min="5" max="26" width="8.630000114440918" customWidth="1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6" t="str">
        <x:v>Payment Status</x:v>
      </x:c>
      <x:c r="B1" s="66" t="str">
        <x:v>Participant Status</x:v>
      </x:c>
      <x:c r="C1" s="66" t="str">
        <x:v>Document Status</x:v>
      </x:c>
      <x:c r="D1" s="66" t="str">
        <x:v>Task Status</x:v>
      </x:c>
      <x:c r="E1" s="66" t="str">
        <x:v>Priority</x:v>
      </x:c>
      <x:c r="F1" s="66" t="str">
        <x:v>Room Type</x:v>
      </x:c>
      <x:c r="G1" s="66" t="str">
        <x:v>Expense Status</x:v>
      </x:c>
      <x:c r="H1" s="66" t="str">
        <x:v>Category</x:v>
      </x:c>
      <x:c r="I1" s="66" t="str">
        <x:v>Yes/No</x:v>
      </x:c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2">
      <x:c r="A2" s="68" t="str">
        <x:v>Не оплачен</x:v>
      </x:c>
      <x:c r="B2" s="68" t="str">
        <x:v>Не оплачен</x:v>
      </x:c>
      <x:c r="C2" s="68" t="str">
        <x:v>Ожидаю</x:v>
      </x:c>
      <x:c r="D2" s="68" t="str">
        <x:v>Не начато</x:v>
      </x:c>
      <x:c r="E2" s="68" t="str">
        <x:v>Низкий</x:v>
      </x:c>
      <x:c r="F2" s="68" t="str">
        <x:v>Double</x:v>
      </x:c>
      <x:c r="G2" s="68" t="str">
        <x:v>Ожидаю</x:v>
      </x:c>
      <x:c r="H2" s="68" t="str">
        <x:v>Проживание</x:v>
      </x:c>
      <x:c r="I2" s="68" t="str">
        <x:v>Да</x:v>
      </x:c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68" t="str">
        <x:v>Депозит</x:v>
      </x:c>
      <x:c r="B3" s="68" t="str">
        <x:v>Депозит</x:v>
      </x:c>
      <x:c r="C3" s="68" t="str">
        <x:v>Готово</x:v>
      </x:c>
      <x:c r="D3" s="68" t="str">
        <x:v>В процессе</x:v>
      </x:c>
      <x:c r="E3" s="68" t="str">
        <x:v>Средний</x:v>
      </x:c>
      <x:c r="F3" s="68" t="str">
        <x:v>Single</x:v>
      </x:c>
      <x:c r="G3" s="68" t="str">
        <x:v>Частично</x:v>
      </x:c>
      <x:c r="H3" s="68" t="str">
        <x:v>Логистика</x:v>
      </x:c>
      <x:c r="I3" s="68" t="str">
        <x:v>Нет</x:v>
      </x:c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8" t="str">
        <x:v>Частично</x:v>
      </x:c>
      <x:c r="B4" s="68" t="str">
        <x:v>Частично</x:v>
      </x:c>
      <x:c r="C4" s="68" t="str">
        <x:v>Отправлено</x:v>
      </x:c>
      <x:c r="D4" s="68" t="str">
        <x:v>Выполнено</x:v>
      </x:c>
      <x:c r="E4" s="68" t="str">
        <x:v>Высокий</x:v>
      </x:c>
      <x:c r="F4" s="68" t="str">
        <x:v>Bunk bed</x:v>
      </x:c>
      <x:c r="G4" s="68" t="str">
        <x:v>Оплачено</x:v>
      </x:c>
      <x:c r="H4" s="68" t="str">
        <x:v>Активности</x:v>
      </x:c>
      <x:c r="I4" s="68" t="str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</x:row>
    <x:row r="5">
      <x:c r="A5" s="68" t="str">
        <x:v>Оплачен полностью</x:v>
      </x:c>
      <x:c r="B5" s="68" t="str">
        <x:v>Оплачен полностью</x:v>
      </x:c>
      <x:c r="C5" s="68" t="str">
        <x:v>Подписано</x:v>
      </x:c>
      <x:c r="D5" s="68" t="str">
        <x:v>Срочно</x:v>
      </x:c>
      <x:c r="E5" s="68" t="str">
        <x:v>Срочно</x:v>
      </x:c>
      <x:c r="F5" s="68" t="str">
        <x:v>Organizer</x:v>
      </x:c>
      <x:c r="G5" s="68" t="str">
        <x:v>Отменено</x:v>
      </x:c>
      <x:c r="H5" s="68" t="str">
        <x:v>Питание</x:v>
      </x:c>
      <x:c r="I5" s="68" t="str"/>
      <x:c r="J5" s="68"/>
      <x:c r="K5" s="68"/>
      <x:c r="L5" s="68"/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</x:row>
    <x:row r="6">
      <x:c r="A6" s="68" t="str">
        <x:v>Возврат</x:v>
      </x:c>
      <x:c r="B6" s="68" t="str">
        <x:v>Возврат</x:v>
      </x:c>
      <x:c r="C6" s="68" t="str">
        <x:v>Не требуется</x:v>
      </x:c>
      <x:c r="D6" s="68" t="str"/>
      <x:c r="E6" s="68" t="str"/>
      <x:c r="F6" s="68" t="str"/>
      <x:c r="G6" s="68" t="str"/>
      <x:c r="H6" s="68" t="str">
        <x:v>Подарки</x:v>
      </x:c>
      <x:c r="I6" s="68" t="str"/>
      <x:c r="J6" s="68"/>
      <x:c r="K6" s="68"/>
      <x:c r="L6" s="68"/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</x:row>
    <x:row r="7">
      <x:c r="A7" s="68" t="str"/>
      <x:c r="B7" s="68" t="str"/>
      <x:c r="C7" s="68" t="str"/>
      <x:c r="D7" s="68" t="str"/>
      <x:c r="E7" s="68" t="str"/>
      <x:c r="F7" s="68" t="str"/>
      <x:c r="G7" s="68" t="str"/>
      <x:c r="H7" s="68" t="str">
        <x:v>Контент</x:v>
      </x:c>
      <x:c r="I7" s="68" t="str"/>
      <x:c r="J7" s="68"/>
      <x:c r="K7" s="68"/>
      <x:c r="L7" s="68"/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</x:row>
    <x:row r="8">
      <x:c r="A8" s="68" t="str"/>
      <x:c r="B8" s="68" t="str"/>
      <x:c r="C8" s="68" t="str"/>
      <x:c r="D8" s="68" t="str"/>
      <x:c r="E8" s="68" t="str"/>
      <x:c r="F8" s="68" t="str"/>
      <x:c r="G8" s="68" t="str"/>
      <x:c r="H8" s="68" t="str">
        <x:v>Перелёты</x:v>
      </x:c>
      <x:c r="I8" s="68" t="str"/>
      <x:c r="J8" s="68"/>
      <x:c r="K8" s="68"/>
      <x:c r="L8" s="68"/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</x:row>
    <x:row r="9">
      <x:c r="A9" s="68" t="str"/>
      <x:c r="B9" s="68" t="str"/>
      <x:c r="C9" s="68" t="str"/>
      <x:c r="D9" s="68" t="str"/>
      <x:c r="E9" s="68" t="str"/>
      <x:c r="F9" s="68" t="str"/>
      <x:c r="G9" s="68" t="str"/>
      <x:c r="H9" s="68" t="str">
        <x:v>Страхование</x:v>
      </x:c>
      <x:c r="I9" s="68" t="str"/>
      <x:c r="J9" s="68"/>
      <x:c r="K9" s="68"/>
      <x:c r="L9" s="68"/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</x:row>
    <x:row r="10">
      <x:c r="A10" s="68" t="str"/>
      <x:c r="B10" s="68" t="str"/>
      <x:c r="C10" s="68" t="str"/>
      <x:c r="D10" s="68" t="str"/>
      <x:c r="E10" s="68" t="str"/>
      <x:c r="F10" s="68" t="str"/>
      <x:c r="G10" s="68" t="str"/>
      <x:c r="H10" s="68" t="str">
        <x:v>Маркетинг</x:v>
      </x:c>
      <x:c r="I10" s="68" t="str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</x:row>
    <x:row r="11">
      <x:c r="A11" s="68" t="str"/>
      <x:c r="B11" s="68" t="str"/>
      <x:c r="C11" s="68" t="str"/>
      <x:c r="D11" s="68" t="str"/>
      <x:c r="E11" s="68" t="str"/>
      <x:c r="F11" s="68" t="str"/>
      <x:c r="G11" s="68" t="str"/>
      <x:c r="H11" s="68" t="str">
        <x:v>Резерв</x:v>
      </x:c>
      <x:c r="I11" s="68" t="str"/>
      <x:c r="J11" s="68"/>
      <x:c r="K11" s="68"/>
      <x:c r="L11" s="68"/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</x:row>
    <x:row r="12">
      <x:c r="A12" s="68" t="str"/>
      <x:c r="B12" s="68" t="str"/>
      <x:c r="C12" s="68" t="str"/>
      <x:c r="D12" s="68" t="str"/>
      <x:c r="E12" s="68" t="str"/>
      <x:c r="F12" s="68" t="str"/>
      <x:c r="G12" s="68" t="str"/>
      <x:c r="H12" s="68" t="str">
        <x:v>Юридическое</x:v>
      </x:c>
      <x:c r="I12" s="68" t="str"/>
      <x:c r="J12" s="68"/>
      <x:c r="K12" s="68"/>
      <x:c r="L12" s="68"/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</x:row>
    <x:row r="13">
      <x:c r="A13" s="68"/>
      <x:c r="B13" s="68"/>
      <x:c r="C13" s="68"/>
      <x:c r="D13" s="68"/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</x:row>
    <x:row r="14">
      <x:c r="A14" s="68"/>
      <x:c r="B14" s="68"/>
      <x:c r="C14" s="68"/>
      <x:c r="D14" s="68"/>
      <x:c r="E14" s="68"/>
      <x:c r="F14" s="68"/>
      <x:c r="G14" s="68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</x:row>
    <x:row r="15">
      <x:c r="A15" s="68"/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</x:row>
    <x:row r="16">
      <x:c r="A16" s="68"/>
      <x:c r="B16" s="68"/>
      <x:c r="C16" s="68"/>
      <x:c r="D16" s="68"/>
      <x:c r="E16" s="68"/>
      <x:c r="F16" s="68"/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</x:row>
    <x:row r="17">
      <x:c r="A17" s="68"/>
      <x:c r="B17" s="68"/>
      <x:c r="C17" s="68"/>
      <x:c r="D17" s="68"/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</x:row>
    <x:row r="18">
      <x:c r="A18" s="68"/>
      <x:c r="B18" s="68"/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</x:row>
    <x:row r="19">
      <x:c r="A19" s="68"/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</x:row>
    <x:row r="20">
      <x:c r="A20" s="68"/>
      <x:c r="B20" s="68"/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</x:row>
    <x:row r="21" ht="15.75" customHeight="1">
      <x:c r="A21" s="68"/>
      <x:c r="B21" s="68"/>
      <x:c r="C21" s="68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</x:row>
    <x:row r="22" ht="15.75" customHeight="1">
      <x:c r="A22" s="68"/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</x:row>
    <x:row r="23" ht="15.75" customHeight="1">
      <x:c r="A23" s="68"/>
      <x:c r="B23" s="68"/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</x:row>
    <x:row r="24" ht="15.75" customHeight="1">
      <x:c r="A24" s="68"/>
      <x:c r="B24" s="68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</x:row>
    <x:row r="25" ht="15.75" customHeight="1">
      <x:c r="A25" s="68"/>
      <x:c r="B25" s="68"/>
      <x:c r="C25" s="68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</x:row>
    <x:row r="26" ht="15.75" customHeight="1">
      <x:c r="A26" s="68"/>
      <x:c r="B26" s="68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</x:row>
    <x:row r="27" ht="15.75" customHeight="1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</x:row>
    <x:row r="28" ht="15.75" customHeight="1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</x:row>
    <x:row r="29" ht="15.75" customHeight="1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</x:row>
    <x:row r="30" ht="15.75" customHeight="1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</x:row>
    <x:row r="31" ht="15.75" customHeight="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</x:row>
    <x:row r="32" ht="15.75" customHeight="1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</x:row>
    <x:row r="33" ht="15.75" customHeight="1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</x:row>
    <x:row r="34" ht="15.75" customHeight="1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</x:row>
    <x:row r="35" ht="15.75" customHeight="1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</x:row>
    <x:row r="36" ht="15.75" customHeight="1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</x:row>
    <x:row r="37" ht="15.75" customHeight="1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</x:row>
    <x:row r="38" ht="15.75" customHeight="1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</x:row>
    <x:row r="39" ht="15.75" customHeight="1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</x:row>
    <x:row r="40" ht="15.75" customHeight="1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</x:row>
    <x:row r="41" ht="15.75" customHeight="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</x:row>
    <x:row r="42" ht="15.75" customHeight="1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</x:row>
    <x:row r="43" ht="15.75" customHeight="1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</x:row>
    <x:row r="44" ht="15.75" customHeight="1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</x:row>
    <x:row r="45" ht="15.75" customHeight="1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</x:row>
    <x:row r="46" ht="15.75" customHeight="1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</x:row>
    <x:row r="47" ht="15.75" customHeight="1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</x:row>
    <x:row r="48" ht="15.75" customHeight="1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</x:row>
    <x:row r="49" ht="15.75" customHeight="1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</x:row>
    <x:row r="50" ht="15.75" customHeight="1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</x:row>
    <x:row r="51" ht="15.75" customHeight="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</x:row>
    <x:row r="52" ht="15.75" customHeight="1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</x:row>
    <x:row r="53" ht="15.75" customHeight="1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</x:row>
    <x:row r="54" ht="15.75" customHeight="1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</x:row>
    <x:row r="55" ht="15.75" customHeight="1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</x:row>
    <x:row r="56" ht="15.75" customHeight="1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</x:row>
    <x:row r="57" ht="15.75" customHeight="1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</x:row>
    <x:row r="58" ht="15.75" customHeight="1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</x:row>
    <x:row r="59" ht="15.75" customHeight="1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</x:row>
    <x:row r="60" ht="15.75" customHeight="1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</x:row>
    <x:row r="61" ht="15.75" customHeight="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</x:row>
    <x:row r="62" ht="15.75" customHeight="1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</x:row>
    <x:row r="63" ht="15.75" customHeight="1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</x:row>
    <x:row r="64" ht="15.75" customHeight="1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</x:row>
    <x:row r="65" ht="15.75" customHeight="1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</x:row>
    <x:row r="66" ht="15.75" customHeight="1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</x:row>
    <x:row r="67" ht="15.75" customHeight="1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</x:row>
    <x:row r="68" ht="15.75" customHeight="1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</x:row>
    <x:row r="69" ht="15.75" customHeight="1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</x:row>
    <x:row r="70" ht="15.75" customHeight="1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</x:row>
    <x:row r="71" ht="15.75" customHeight="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</x:row>
    <x:row r="72" ht="15.75" customHeight="1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</x:row>
    <x:row r="73" ht="15.75" customHeight="1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</x:row>
    <x:row r="74" ht="15.75" customHeight="1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</x:row>
    <x:row r="75" ht="15.75" customHeight="1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</x:row>
    <x:row r="76" ht="15.75" customHeight="1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 ht="15.75" customHeight="1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</x:row>
    <x:row r="78" ht="15.75" customHeight="1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</x:row>
    <x:row r="79" ht="15.75" customHeight="1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</x:row>
    <x:row r="80" ht="15.75" customHeight="1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</x:row>
    <x:row r="81" ht="15.75" customHeight="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</x:row>
    <x:row r="82" ht="15.75" customHeight="1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</x:row>
    <x:row r="83" ht="15.75" customHeight="1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</x:row>
    <x:row r="84" ht="15.75" customHeight="1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</x:row>
    <x:row r="85" ht="15.75" customHeight="1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</x:row>
    <x:row r="86" ht="15.75" customHeight="1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</x:row>
    <x:row r="87" ht="15.75" customHeight="1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</x:row>
    <x:row r="88" ht="15.75" customHeight="1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</x:row>
    <x:row r="89" ht="15.75" customHeight="1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</x:row>
    <x:row r="90" ht="15.75" customHeight="1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</x:row>
    <x:row r="91" ht="15.75" customHeight="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</x:row>
    <x:row r="92" ht="15.75" customHeight="1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</x:row>
    <x:row r="93" ht="15.75" customHeight="1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</x:row>
    <x:row r="94" ht="15.75" customHeight="1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</x:row>
    <x:row r="95" ht="15.75" customHeight="1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</x:row>
    <x:row r="96" ht="15.75" customHeight="1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</x:row>
    <x:row r="97" ht="15.75" customHeight="1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</x:row>
    <x:row r="98" ht="15.75" customHeight="1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</x:row>
    <x:row r="99" ht="15.75" customHeight="1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</x:row>
    <x:row r="100" ht="15.75" customHeight="1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</x:row>
    <x:row r="101" ht="15.75" customHeight="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</x:row>
    <x:row r="102" ht="15.75" customHeight="1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</x:row>
    <x:row r="103" ht="15.75" customHeight="1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</x:row>
    <x:row r="104" ht="15.75" customHeight="1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</x:row>
    <x:row r="105" ht="15.75" customHeight="1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</x:row>
    <x:row r="106" ht="15.75" customHeight="1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</x:row>
    <x:row r="107" ht="15.75" customHeight="1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</x:row>
    <x:row r="108" ht="15.75" customHeight="1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</x:row>
    <x:row r="109" ht="15.75" customHeight="1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</x:row>
    <x:row r="110" ht="15.75" customHeight="1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</x:row>
    <x:row r="111" ht="15.75" customHeight="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</x:row>
    <x:row r="112" ht="15.75" customHeight="1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</x:row>
    <x:row r="113" ht="15.75" customHeight="1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</x:row>
    <x:row r="114" ht="15.75" customHeight="1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</x:row>
    <x:row r="115" ht="15.75" customHeight="1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</x:row>
    <x:row r="116" ht="15.75" customHeight="1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</x:row>
    <x:row r="117" ht="15.75" customHeight="1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</x:row>
    <x:row r="118" ht="15.75" customHeight="1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</x:row>
    <x:row r="119" ht="15.75" customHeight="1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</x:row>
    <x:row r="120" ht="15.75" customHeight="1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</x:row>
    <x:row r="121" ht="15.75" customHeight="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</x:row>
    <x:row r="122" ht="15.75" customHeight="1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</x:row>
    <x:row r="123" ht="15.75" customHeight="1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</x:row>
    <x:row r="124" ht="15.75" customHeight="1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</x:row>
    <x:row r="125" ht="15.75" customHeight="1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</x:row>
    <x:row r="126" ht="15.75" customHeight="1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</x:row>
    <x:row r="127" ht="15.75" customHeight="1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</x:row>
    <x:row r="128" ht="15.75" customHeight="1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</x:row>
    <x:row r="129" ht="15.75" customHeight="1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</x:row>
    <x:row r="130" ht="15.75" customHeight="1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</x:row>
    <x:row r="131" ht="15.75" customHeight="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</x:row>
    <x:row r="132" ht="15.75" customHeight="1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</x:row>
    <x:row r="133" ht="15.75" customHeight="1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</x:row>
    <x:row r="134" ht="15.75" customHeight="1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</x:row>
    <x:row r="135" ht="15.75" customHeight="1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</x:row>
    <x:row r="136" ht="15.75" customHeight="1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</x:row>
    <x:row r="137" ht="15.75" customHeight="1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</x:row>
    <x:row r="138" ht="15.75" customHeight="1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</x:row>
    <x:row r="139" ht="15.75" customHeight="1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</x:row>
    <x:row r="140" ht="15.75" customHeight="1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</x:row>
    <x:row r="141" ht="15.75" customHeight="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</x:row>
    <x:row r="142" ht="15.75" customHeight="1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</x:row>
    <x:row r="143" ht="15.75" customHeight="1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</x:row>
    <x:row r="144" ht="15.75" customHeight="1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</x:row>
    <x:row r="145" ht="15.75" customHeight="1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</x:row>
    <x:row r="146" ht="15.75" customHeight="1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</x:row>
    <x:row r="147" ht="15.75" customHeight="1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</x:row>
    <x:row r="148" ht="15.75" customHeight="1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</x:row>
    <x:row r="149" ht="15.75" customHeight="1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</x:row>
    <x:row r="150" ht="15.75" customHeight="1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</x:row>
    <x:row r="151" ht="15.75" customHeight="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</x:row>
    <x:row r="152" ht="15.75" customHeight="1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</x:row>
    <x:row r="153" ht="15.75" customHeight="1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</x:row>
    <x:row r="154" ht="15.75" customHeight="1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</x:row>
    <x:row r="155" ht="15.75" customHeight="1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</x:row>
    <x:row r="156" ht="15.75" customHeight="1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</x:row>
    <x:row r="157" ht="15.75" customHeight="1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</x:row>
    <x:row r="158" ht="15.75" customHeight="1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</x:row>
    <x:row r="159" ht="15.75" customHeight="1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</x:row>
    <x:row r="160" ht="15.75" customHeight="1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</x:row>
    <x:row r="161" ht="15.75" customHeight="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</x:row>
    <x:row r="162" ht="15.75" customHeight="1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</x:row>
    <x:row r="163" ht="15.75" customHeight="1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</x:row>
    <x:row r="164" ht="15.75" customHeight="1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</x:row>
    <x:row r="165" ht="15.75" customHeight="1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</x:row>
    <x:row r="166" ht="15.75" customHeight="1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</x:row>
    <x:row r="167" ht="15.75" customHeight="1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</x:row>
    <x:row r="168" ht="15.75" customHeight="1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</x:row>
    <x:row r="169" ht="15.75" customHeight="1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</x:row>
    <x:row r="170" ht="15.75" customHeight="1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</x:row>
    <x:row r="171" ht="15.75" customHeight="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</x:row>
    <x:row r="172" ht="15.75" customHeight="1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</x:row>
    <x:row r="173" ht="15.75" customHeight="1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</x:row>
    <x:row r="174" ht="15.75" customHeight="1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</x:row>
    <x:row r="175" ht="15.75" customHeight="1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</x:row>
    <x:row r="176" ht="15.75" customHeight="1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</x:row>
    <x:row r="177" ht="15.75" customHeight="1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</x:row>
    <x:row r="178" ht="15.75" customHeight="1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</x:row>
    <x:row r="179" ht="15.75" customHeight="1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</x:row>
    <x:row r="180" ht="15.75" customHeight="1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</x:row>
    <x:row r="181" ht="15.75" customHeight="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</x:row>
    <x:row r="182" ht="15.75" customHeight="1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</x:row>
    <x:row r="183" ht="15.75" customHeight="1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</x:row>
    <x:row r="184" ht="15.75" customHeight="1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</x:row>
    <x:row r="185" ht="15.75" customHeight="1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</x:row>
    <x:row r="186" ht="15.75" customHeight="1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</x:row>
    <x:row r="187" ht="15.75" customHeight="1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</x:row>
    <x:row r="188" ht="15.75" customHeight="1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</x:row>
    <x:row r="189" ht="15.75" customHeight="1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</x:row>
    <x:row r="190" ht="15.75" customHeight="1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</x:row>
    <x:row r="191" ht="15.75" customHeight="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</x:row>
    <x:row r="192" ht="15.75" customHeight="1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</x:row>
    <x:row r="193" ht="15.75" customHeight="1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</x:row>
    <x:row r="194" ht="15.75" customHeight="1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</x:row>
    <x:row r="195" ht="15.75" customHeight="1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</x:row>
    <x:row r="196" ht="15.75" customHeight="1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</x:row>
    <x:row r="197" ht="15.75" customHeight="1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</x:row>
    <x:row r="198" ht="15.75" customHeight="1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</x:row>
    <x:row r="199" ht="15.75" customHeight="1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</x:row>
    <x:row r="200" ht="15.75" customHeight="1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</x:row>
    <x:row r="201" ht="15.75" customHeight="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 ht="15.75" customHeight="1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 ht="15.75" customHeight="1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 ht="15.75" customHeight="1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 ht="15.75" customHeight="1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 ht="15.75" customHeight="1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 ht="15.75" customHeight="1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 ht="15.75" customHeight="1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 ht="15.75" customHeight="1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 ht="15.75" customHeight="1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 ht="15.75" customHeight="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 ht="15.75" customHeight="1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 ht="15.75" customHeight="1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 ht="15.75" customHeight="1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 ht="15.75" customHeight="1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 ht="15.75" customHeight="1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 ht="15.75" customHeight="1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 ht="15.75" customHeight="1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 ht="15.75" customHeight="1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 ht="15.75" customHeight="1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 ht="15.75" customHeight="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 ht="15.75" customHeight="1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 ht="15.75" customHeight="1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 ht="15.75" customHeight="1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 ht="15.75" customHeight="1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 ht="15.75" customHeight="1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 ht="15.75" customHeight="1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 ht="15.75" customHeight="1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 ht="15.75" customHeight="1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 ht="15.75" customHeight="1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 ht="15.75" customHeight="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 ht="15.75" customHeight="1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 ht="15.75" customHeight="1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 ht="15.75" customHeight="1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 ht="15.75" customHeight="1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 ht="15.75" customHeight="1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 ht="15.75" customHeight="1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 ht="15.75" customHeight="1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 ht="15.75" customHeight="1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 ht="15.75" customHeight="1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 ht="15.75" customHeight="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 ht="15.75" customHeight="1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 ht="15.75" customHeight="1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 ht="15.75" customHeight="1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 ht="15.75" customHeight="1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 ht="15.75" customHeight="1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 ht="15.75" customHeight="1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 ht="15.75" customHeight="1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 ht="15.75" customHeight="1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 ht="15.75" customHeight="1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 ht="15.75" customHeight="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 ht="15.75" customHeight="1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 ht="15.75" customHeight="1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 ht="15.75" customHeight="1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 ht="15.75" customHeight="1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 ht="15.75" customHeight="1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 ht="15.75" customHeight="1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 ht="15.75" customHeight="1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 ht="15.75" customHeight="1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 ht="15.75" customHeight="1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 ht="15.75" customHeight="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 ht="15.75" customHeight="1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 ht="15.75" customHeight="1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 ht="15.75" customHeight="1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 ht="15.75" customHeight="1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 ht="15.75" customHeight="1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 ht="15.75" customHeight="1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 ht="15.75" customHeight="1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 ht="15.75" customHeight="1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 ht="15.75" customHeight="1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 ht="15.75" customHeight="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 ht="15.75" customHeight="1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 ht="15.75" customHeight="1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 ht="15.75" customHeight="1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 ht="15.75" customHeight="1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 ht="15.75" customHeight="1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 ht="15.75" customHeight="1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 ht="15.75" customHeight="1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 ht="15.75" customHeight="1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 ht="15.75" customHeight="1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 ht="15.75" customHeight="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 ht="15.75" customHeight="1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 ht="15.75" customHeight="1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 ht="15.75" customHeight="1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 ht="15.75" customHeight="1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 ht="15.75" customHeight="1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 ht="15.75" customHeight="1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 ht="15.75" customHeight="1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 ht="15.75" customHeight="1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 ht="15.75" customHeight="1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 ht="15.75" customHeight="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 ht="15.75" customHeight="1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 ht="15.75" customHeight="1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 ht="15.75" customHeight="1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 ht="15.75" customHeight="1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 ht="15.75" customHeight="1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 ht="15.75" customHeight="1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 ht="15.75" customHeight="1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 ht="15.75" customHeight="1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 ht="15.75" customHeight="1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3" t="str">
        <x:v>Profit Simulation — сколько зарабатывает каждый сценарий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87" t="str">
        <x:v>Участниц</x:v>
      </x:c>
      <x:c r="B3" s="87" t="str">
        <x:v>Доход</x:v>
      </x:c>
      <x:c r="C3" s="87" t="str">
        <x:v>Кейтеринг</x:v>
      </x:c>
      <x:c r="D3" s="87" t="str">
        <x:v>Расходы всего</x:v>
      </x:c>
      <x:c r="E3" s="87" t="str">
        <x:v>Прибыль</x:v>
      </x:c>
      <x:c r="F3" s="87" t="str">
        <x:v>Маржа</x:v>
      </x:c>
      <x:c r="G3" s="87" t="str">
        <x:v>Прибыль/участница</x:v>
      </x:c>
      <x:c r="H3" s="87" t="str">
        <x:v>Комментарий</x:v>
      </x:c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67" t="n">
        <x:v>10</x:v>
      </x:c>
      <x:c r="B4" s="88" t="n">
        <x:f>A4*Inputs!$B$7</x:f>
        <x:v>11900</x:v>
      </x:c>
      <x:c r="C4" s="88" t="n">
        <x:f>Inputs!$B$13+Inputs!$B$14*(A4+Inputs!$B$11)</x:f>
        <x:v>620</x:v>
      </x:c>
      <x:c r="D4" s="88" t="n">
        <x:f>SUM(Expenses!$D$2:$D$101)-INDEX(Expenses!$D:$D,MATCH("Кейтеринг: приветственный и прощальный ланч",Expenses!$C:$C,0))+C4</x:f>
        <x:v>13153.07</x:v>
      </x:c>
      <x:c r="E4" s="88" t="n">
        <x:f>B4-D4</x:f>
        <x:v>-1253.0699999999997</x:v>
      </x:c>
      <x:c r="F4" s="89" t="n">
        <x:f>IF(B4=0,0,E4/B4)</x:f>
        <x:v>-0.10529999999999998</x:v>
      </x:c>
      <x:c r="G4" s="88" t="n">
        <x:f>IF(A4=0,0,E4/A4)</x:f>
        <x:v>-125.30699999999997</x:v>
      </x:c>
      <x:c r="H4" s="67" t="str">
        <x:f>IF(E4&lt;0,"Минус",IF(A4&lt;Inputs!$B$8,"Ниже цели","Цель/рост"))</x:f>
        <x:v>Минус</x:v>
      </x:c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67" t="n">
        <x:v>11</x:v>
      </x:c>
      <x:c r="B5" s="88" t="n">
        <x:f>A5*Inputs!$B$7</x:f>
        <x:v>13090</x:v>
      </x:c>
      <x:c r="C5" s="88" t="n">
        <x:f>Inputs!$B$13+Inputs!$B$14*(A5+Inputs!$B$11)</x:f>
        <x:v>655</x:v>
      </x:c>
      <x:c r="D5" s="88" t="n">
        <x:f>SUM(Expenses!$D$2:$D$101)-INDEX(Expenses!$D:$D,MATCH("Кейтеринг: приветственный и прощальный ланч",Expenses!$C:$C,0))+C5</x:f>
        <x:v>13188.07</x:v>
      </x:c>
      <x:c r="E5" s="88" t="n">
        <x:f>B5-D5</x:f>
        <x:v>-98.06999999999971</x:v>
      </x:c>
      <x:c r="F5" s="89" t="n">
        <x:f>IF(B5=0,0,E5/B5)</x:f>
        <x:v>-0.007491978609625646</x:v>
      </x:c>
      <x:c r="G5" s="88" t="n">
        <x:f>IF(A5=0,0,E5/A5)</x:f>
        <x:v>-8.91545454545452</x:v>
      </x:c>
      <x:c r="H5" s="67" t="str">
        <x:f>IF(E5&lt;0,"Минус",IF(A5&lt;Inputs!$B$8,"Ниже цели","Цель/рост"))</x:f>
        <x:v>Минус</x:v>
      </x:c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67" t="n">
        <x:v>12</x:v>
      </x:c>
      <x:c r="B6" s="88" t="n">
        <x:f>A6*Inputs!$B$7</x:f>
        <x:v>14280</x:v>
      </x:c>
      <x:c r="C6" s="88" t="n">
        <x:f>Inputs!$B$13+Inputs!$B$14*(A6+Inputs!$B$11)</x:f>
        <x:v>690</x:v>
      </x:c>
      <x:c r="D6" s="88" t="n">
        <x:f>SUM(Expenses!$D$2:$D$101)-INDEX(Expenses!$D:$D,MATCH("Кейтеринг: приветственный и прощальный ланч",Expenses!$C:$C,0))+C6</x:f>
        <x:v>13223.07</x:v>
      </x:c>
      <x:c r="E6" s="88" t="n">
        <x:f>B6-D6</x:f>
        <x:v>1056.9300000000003</x:v>
      </x:c>
      <x:c r="F6" s="89" t="n">
        <x:f>IF(B6=0,0,E6/B6)</x:f>
        <x:v>0.07401470588235295</x:v>
      </x:c>
      <x:c r="G6" s="88" t="n">
        <x:f>IF(A6=0,0,E6/A6)</x:f>
        <x:v>88.07750000000003</x:v>
      </x:c>
      <x:c r="H6" s="67" t="str">
        <x:f>IF(E6&lt;0,"Минус",IF(A6&lt;Inputs!$B$8,"Ниже цели","Цель/рост"))</x:f>
        <x:v>Ниже цели</x:v>
      </x:c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7" t="n">
        <x:v>13</x:v>
      </x:c>
      <x:c r="B7" s="88" t="n">
        <x:f>A7*Inputs!$B$7</x:f>
        <x:v>15470</x:v>
      </x:c>
      <x:c r="C7" s="88" t="n">
        <x:f>Inputs!$B$13+Inputs!$B$14*(A7+Inputs!$B$11)</x:f>
        <x:v>725</x:v>
      </x:c>
      <x:c r="D7" s="88" t="n">
        <x:f>SUM(Expenses!$D$2:$D$101)-INDEX(Expenses!$D:$D,MATCH("Кейтеринг: приветственный и прощальный ланч",Expenses!$C:$C,0))+C7</x:f>
        <x:v>13258.07</x:v>
      </x:c>
      <x:c r="E7" s="88" t="n">
        <x:f>B7-D7</x:f>
        <x:v>2211.9300000000003</x:v>
      </x:c>
      <x:c r="F7" s="89" t="n">
        <x:f>IF(B7=0,0,E7/B7)</x:f>
        <x:v>0.1429819004524887</x:v>
      </x:c>
      <x:c r="G7" s="88" t="n">
        <x:f>IF(A7=0,0,E7/A7)</x:f>
        <x:v>170.14846153846156</x:v>
      </x:c>
      <x:c r="H7" s="67" t="str">
        <x:f>IF(E7&lt;0,"Минус",IF(A7&lt;Inputs!$B$8,"Ниже цели","Цель/рост"))</x:f>
        <x:v>Цель/рост</x:v>
      </x:c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7" t="n">
        <x:v>14</x:v>
      </x:c>
      <x:c r="B8" s="88" t="n">
        <x:f>A8*Inputs!$B$7</x:f>
        <x:v>16660</x:v>
      </x:c>
      <x:c r="C8" s="88" t="n">
        <x:f>Inputs!$B$13+Inputs!$B$14*(A8+Inputs!$B$11)</x:f>
        <x:v>760</x:v>
      </x:c>
      <x:c r="D8" s="88" t="n">
        <x:f>SUM(Expenses!$D$2:$D$101)-INDEX(Expenses!$D:$D,MATCH("Кейтеринг: приветственный и прощальный ланч",Expenses!$C:$C,0))+C8</x:f>
        <x:v>13293.07</x:v>
      </x:c>
      <x:c r="E8" s="88" t="n">
        <x:f>B8-D8</x:f>
        <x:v>3366.9300000000003</x:v>
      </x:c>
      <x:c r="F8" s="89" t="n">
        <x:f>IF(B8=0,0,E8/B8)</x:f>
        <x:v>0.2020966386554622</x:v>
      </x:c>
      <x:c r="G8" s="88" t="n">
        <x:f>IF(A8=0,0,E8/A8)</x:f>
        <x:v>240.49500000000003</x:v>
      </x:c>
      <x:c r="H8" s="67" t="str">
        <x:f>IF(E8&lt;0,"Минус",IF(A8&lt;Inputs!$B$8,"Ниже цели","Цель/рост"))</x:f>
        <x:v>Цель/рост</x:v>
      </x:c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7" t="n">
        <x:v>15</x:v>
      </x:c>
      <x:c r="B9" s="88" t="n">
        <x:f>A9*Inputs!$B$7</x:f>
        <x:v>17850</x:v>
      </x:c>
      <x:c r="C9" s="88" t="n">
        <x:f>Inputs!$B$13+Inputs!$B$14*(A9+Inputs!$B$11)</x:f>
        <x:v>795</x:v>
      </x:c>
      <x:c r="D9" s="88" t="n">
        <x:f>SUM(Expenses!$D$2:$D$101)-INDEX(Expenses!$D:$D,MATCH("Кейтеринг: приветственный и прощальный ланч",Expenses!$C:$C,0))+C9</x:f>
        <x:v>13328.07</x:v>
      </x:c>
      <x:c r="E9" s="88" t="n">
        <x:f>B9-D9</x:f>
        <x:v>4521.93</x:v>
      </x:c>
      <x:c r="F9" s="89" t="n">
        <x:f>IF(B9=0,0,E9/B9)</x:f>
        <x:v>0.2533294117647059</x:v>
      </x:c>
      <x:c r="G9" s="88" t="n">
        <x:f>IF(A9=0,0,E9/A9)</x:f>
        <x:v>301.46200000000005</x:v>
      </x:c>
      <x:c r="H9" s="67" t="str">
        <x:f>IF(E9&lt;0,"Минус",IF(A9&lt;Inputs!$B$8,"Ниже цели","Цель/рост"))</x:f>
        <x:v>Цель/рост</x:v>
      </x:c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7" t="n">
        <x:v>16</x:v>
      </x:c>
      <x:c r="B10" s="88" t="n">
        <x:f>A10*Inputs!$B$7</x:f>
        <x:v>19040</x:v>
      </x:c>
      <x:c r="C10" s="88" t="n">
        <x:f>Inputs!$B$13+Inputs!$B$14*(A10+Inputs!$B$11)</x:f>
        <x:v>830</x:v>
      </x:c>
      <x:c r="D10" s="88" t="n">
        <x:f>SUM(Expenses!$D$2:$D$101)-INDEX(Expenses!$D:$D,MATCH("Кейтеринг: приветственный и прощальный ланч",Expenses!$C:$C,0))+C10</x:f>
        <x:v>13363.07</x:v>
      </x:c>
      <x:c r="E10" s="88" t="n">
        <x:f>B10-D10</x:f>
        <x:v>5676.93</x:v>
      </x:c>
      <x:c r="F10" s="89" t="n">
        <x:f>IF(B10=0,0,E10/B10)</x:f>
        <x:v>0.2981580882352941</x:v>
      </x:c>
      <x:c r="G10" s="88" t="n">
        <x:f>IF(A10=0,0,E10/A10)</x:f>
        <x:v>354.808125</x:v>
      </x:c>
      <x:c r="H10" s="67" t="str">
        <x:f>IF(E10&lt;0,"Минус",IF(A10&lt;Inputs!$B$8,"Ниже цели","Цель/рост"))</x:f>
        <x:v>Цель/рост</x:v>
      </x:c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H1"/>
  </x:mergeCells>
  <x:conditionalFormatting sqref="E4:E10">
    <x:cfRule type="expression" dxfId="11" priority="1">
      <x:formula>E4&lt;0</x:formula>
    </x:cfRule>
    <x:cfRule type="expression" dxfId="12" priority="2">
      <x:formula>E4&gt;=0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>
      <x:c r="A1" s="103" t="str">
        <x:v>Cash Flow Control — поступления и платежи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87" t="str">
        <x:v>Блок</x:v>
      </x:c>
      <x:c r="B3" s="87" t="str">
        <x:v>Формула</x:v>
      </x:c>
      <x:c r="C3" s="87" t="str">
        <x:v>Сумма</x:v>
      </x:c>
      <x:c r="D3" s="87" t="str">
        <x:v>Комментарий</x:v>
      </x:c>
      <x:c r="E3" s="67" t="str"/>
      <x:c r="F3" s="67" t="str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92" t="str">
        <x:v>Поступило от участниц</x:v>
      </x:c>
      <x:c r="B4" s="92" t="str">
        <x:v>SUM Income</x:v>
      </x:c>
      <x:c r="C4" s="93" t="n">
        <x:f>SUM(Income!$D$2:$D$101)</x:f>
        <x:v>6960</x:v>
      </x:c>
      <x:c r="D4" s="92" t="str">
        <x:v>Фактические платежи</x:v>
      </x:c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92" t="str">
        <x:v>Оплачено расходов</x:v>
      </x:c>
      <x:c r="B5" s="92" t="str">
        <x:v>SUM Expenses Paid</x:v>
      </x:c>
      <x:c r="C5" s="93" t="n">
        <x:f>SUM(Expenses!$E$2:$E$101)</x:f>
        <x:v>0</x:v>
      </x:c>
      <x:c r="D5" s="92" t="str">
        <x:v>Фактически списанные расходы</x:v>
      </x:c>
      <x:c r="E5" s="67"/>
      <x:c r="F5" s="67"/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92" t="str">
        <x:v>Текущий остаток денег</x:v>
      </x:c>
      <x:c r="B6" s="92" t="str">
        <x:v>Income - Paid Expenses</x:v>
      </x:c>
      <x:c r="C6" s="93" t="n">
        <x:f>C4-C5</x:f>
        <x:v>6960</x:v>
      </x:c>
      <x:c r="D6" s="92" t="str">
        <x:v>Текущий cash balance</x:v>
      </x:c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92" t="str">
        <x:v>Ожидается доплат от текущих участниц</x:v>
      </x:c>
      <x:c r="B7" s="92" t="str">
        <x:v>Current expected revenue - received</x:v>
      </x:c>
      <x:c r="C7" s="93" t="n">
        <x:f>Dashboard!B11</x:f>
        <x:v>4940</x:v>
      </x:c>
      <x:c r="D7" s="92" t="str">
        <x:v>Если текущие 10 доплатят</x:v>
      </x:c>
      <x:c r="E7" s="67"/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92" t="str">
        <x:v>Осталось оплатить расходов</x:v>
      </x:c>
      <x:c r="B8" s="92" t="str">
        <x:v>Remaining expenses</x:v>
      </x:c>
      <x:c r="C8" s="93" t="n">
        <x:f>SUM(Expenses!$F$2:$F$101)</x:f>
        <x:v>13258.07</x:v>
      </x:c>
      <x:c r="D8" s="92" t="str">
        <x:v>Будущие обязательства</x:v>
      </x:c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92" t="str">
        <x:v>Прогноз итогового остатка при текущих участницах</x:v>
      </x:c>
      <x:c r="B9" s="92" t="str">
        <x:v>Balance + future receipts - remaining expenses</x:v>
      </x:c>
      <x:c r="C9" s="93" t="n">
        <x:f>C6+C7-C8</x:f>
        <x:v>-1358.0699999999997</x:v>
      </x:c>
      <x:c r="D9" s="92" t="str">
        <x:v>Если не будет новых участниц</x:v>
      </x:c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92" t="str">
        <x:v>Прогноз итогового остатка при 13 участницах</x:v>
      </x:c>
      <x:c r="B10" s="92" t="str">
        <x:v>Target revenue - total expenses</x:v>
      </x:c>
      <x:c r="C10" s="93" t="n">
        <x:f>Dashboard!B18</x:f>
        <x:v>2211.9300000000003</x:v>
      </x:c>
      <x:c r="D10" s="92" t="str">
        <x:v>Цель</x:v>
      </x:c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F1"/>
  </x:mergeCells>
  <x:conditionalFormatting sqref="C9:C10">
    <x:cfRule type="expression" dxfId="13" priority="1">
      <x:formula>C9&lt;0</x:formula>
    </x:cfRule>
    <x:cfRule type="expression" dxfId="14" priority="2">
      <x:formula>C9&gt;=0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03" t="str">
        <x:v>Profit Allocation — куда направить прибыль после ретрита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87" t="str">
        <x:v>Направление</x:v>
      </x:c>
      <x:c r="B3" s="87" t="str">
        <x:v>Доля</x:v>
      </x:c>
      <x:c r="C3" s="87" t="str">
        <x:v>Сумма при прибыли цели</x:v>
      </x:c>
      <x:c r="D3" s="87" t="str">
        <x:v>Комментарий</x:v>
      </x:c>
      <x:c r="E3" s="87" t="str">
        <x:v>Изменить долю</x:v>
      </x:c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92" t="str">
        <x:v>Автомобиль</x:v>
      </x:c>
      <x:c r="B4" s="97" t="n">
        <x:v>0.35</x:v>
      </x:c>
      <x:c r="C4" s="93" t="n">
        <x:f>Dashboard!$B$18*B4</x:f>
        <x:v>774.1755</x:v>
      </x:c>
      <x:c r="D4" s="92" t="str">
        <x:v>Фонд на покупку автомобиля</x:v>
      </x:c>
      <x:c r="E4" s="92" t="str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92" t="str">
        <x:v>Обучение Reels / видео</x:v>
      </x:c>
      <x:c r="B5" s="97" t="n">
        <x:v>0.15</x:v>
      </x:c>
      <x:c r="C5" s="93" t="n">
        <x:f>Dashboard!$B$18*B5</x:f>
        <x:v>331.78950000000003</x:v>
      </x:c>
      <x:c r="D5" s="92" t="str">
        <x:v>Курс/оборудование/монтаж</x:v>
      </x:c>
      <x:c r="E5" s="92" t="str"/>
      <x:c r="F5" s="67"/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92" t="str">
        <x:v>Реклама / маркетинг</x:v>
      </x:c>
      <x:c r="B6" s="97" t="n">
        <x:v>0.15</x:v>
      </x:c>
      <x:c r="C6" s="93" t="n">
        <x:f>Dashboard!$B$18*B6</x:f>
        <x:v>331.78950000000003</x:v>
      </x:c>
      <x:c r="D6" s="92" t="str">
        <x:v>Продвижение следующего ретрита</x:v>
      </x:c>
      <x:c r="E6" s="92" t="str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92" t="str">
        <x:v>Резерв бизнеса</x:v>
      </x:c>
      <x:c r="B7" s="97" t="n">
        <x:v>0.2</x:v>
      </x:c>
      <x:c r="C7" s="93" t="n">
        <x:f>Dashboard!$B$18*B7</x:f>
        <x:v>442.3860000000001</x:v>
      </x:c>
      <x:c r="D7" s="92" t="str">
        <x:v>Подушка на непредвиденные расходы</x:v>
      </x:c>
      <x:c r="E7" s="92" t="str"/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92" t="str">
        <x:v>Следующий ретрит</x:v>
      </x:c>
      <x:c r="B8" s="97" t="n">
        <x:v>0.15</x:v>
      </x:c>
      <x:c r="C8" s="93" t="n">
        <x:f>Dashboard!$B$18*B8</x:f>
        <x:v>331.78950000000003</x:v>
      </x:c>
      <x:c r="D8" s="92" t="str">
        <x:v>Депозиты, разведка направлений</x:v>
      </x:c>
      <x:c r="E8" s="92" t="str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7"/>
      <x:c r="B9" s="98" t="str">
        <x:v>Итого</x:v>
      </x:c>
      <x:c r="C9" s="99" t="n">
        <x:f>SUM(B4:B8)</x:f>
        <x:v>1</x:v>
      </x:c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03" t="str">
        <x:v>NA TALIYA CLUB Retreat Tracker — инструкция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92" t="str">
        <x:v>Как пользоваться файлом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92" t="str">
        <x:v>1. В листе Inputs меняй цену, цель участниц, размер депозита, команду и кейтеринг.</x:v>
      </x:c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92" t="str">
        <x:v>2. В Income добавляй каждую оплату отдельной строкой. Имя участницы должно совпадать с листом Participants.</x:v>
      </x:c>
      <x:c r="B5" s="67"/>
      <x:c r="C5" s="67"/>
      <x:c r="D5" s="67"/>
      <x:c r="E5" s="67"/>
      <x:c r="F5" s="67"/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92" t="str">
        <x:v>3. В Expenses обновляй план, фактически оплаченные суммы и статус.</x:v>
      </x:c>
      <x:c r="B6" s="67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92" t="str">
        <x:v>4. Dashboard пересчитывает ключевые показатели автоматически.</x:v>
      </x:c>
      <x:c r="B7" s="67"/>
      <x:c r="C7" s="67"/>
      <x:c r="D7" s="67"/>
      <x:c r="E7" s="67"/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92" t="str">
        <x:v>5. Profit Simulation показывает прибыль при 10–16 участницах.</x:v>
      </x:c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92" t="str">
        <x:v>6. Cash Flow показывает, хватает ли уже поступивших денег на будущие платежи.</x:v>
      </x:c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92" t="str">
        <x:v>7. Для следующего ретрита сделай копию файла, измени Inputs и постепенно замени расходы/участниц.</x:v>
      </x:c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A201" s="67"/>
      <x:c r="B201" s="67"/>
      <x:c r="C201" s="67"/>
      <x:c r="D201" s="67"/>
      <x:c r="E201" s="67"/>
      <x:c r="F201" s="67"/>
      <x:c r="G201" s="67"/>
      <x:c r="H201" s="67"/>
      <x:c r="I201" s="67"/>
      <x:c r="J201" s="67"/>
      <x:c r="K201" s="67"/>
      <x:c r="L201" s="67"/>
      <x:c r="M201" s="67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A202" s="67"/>
      <x:c r="B202" s="67"/>
      <x:c r="C202" s="67"/>
      <x:c r="D202" s="67"/>
      <x:c r="E202" s="67"/>
      <x:c r="F202" s="67"/>
      <x:c r="G202" s="67"/>
      <x:c r="H202" s="67"/>
      <x:c r="I202" s="67"/>
      <x:c r="J202" s="67"/>
      <x:c r="K202" s="67"/>
      <x:c r="L202" s="67"/>
      <x:c r="M202" s="67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A203" s="67"/>
      <x:c r="B203" s="67"/>
      <x:c r="C203" s="67"/>
      <x:c r="D203" s="67"/>
      <x:c r="E203" s="67"/>
      <x:c r="F203" s="67"/>
      <x:c r="G203" s="67"/>
      <x:c r="H203" s="67"/>
      <x:c r="I203" s="67"/>
      <x:c r="J203" s="67"/>
      <x:c r="K203" s="67"/>
      <x:c r="L203" s="67"/>
      <x:c r="M203" s="67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A204" s="67"/>
      <x:c r="B204" s="67"/>
      <x:c r="C204" s="67"/>
      <x:c r="D204" s="67"/>
      <x:c r="E204" s="67"/>
      <x:c r="F204" s="67"/>
      <x:c r="G204" s="67"/>
      <x:c r="H204" s="67"/>
      <x:c r="I204" s="67"/>
      <x:c r="J204" s="67"/>
      <x:c r="K204" s="67"/>
      <x:c r="L204" s="67"/>
      <x:c r="M204" s="67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A205" s="67"/>
      <x:c r="B205" s="67"/>
      <x:c r="C205" s="67"/>
      <x:c r="D205" s="67"/>
      <x:c r="E205" s="67"/>
      <x:c r="F205" s="67"/>
      <x:c r="G205" s="67"/>
      <x:c r="H205" s="67"/>
      <x:c r="I205" s="67"/>
      <x:c r="J205" s="67"/>
      <x:c r="K205" s="67"/>
      <x:c r="L205" s="67"/>
      <x:c r="M205" s="67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A206" s="67"/>
      <x:c r="B206" s="67"/>
      <x:c r="C206" s="67"/>
      <x:c r="D206" s="67"/>
      <x:c r="E206" s="67"/>
      <x:c r="F206" s="67"/>
      <x:c r="G206" s="67"/>
      <x:c r="H206" s="67"/>
      <x:c r="I206" s="67"/>
      <x:c r="J206" s="67"/>
      <x:c r="K206" s="67"/>
      <x:c r="L206" s="67"/>
      <x:c r="M206" s="67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A207" s="67"/>
      <x:c r="B207" s="67"/>
      <x:c r="C207" s="67"/>
      <x:c r="D207" s="67"/>
      <x:c r="E207" s="67"/>
      <x:c r="F207" s="67"/>
      <x:c r="G207" s="67"/>
      <x:c r="H207" s="67"/>
      <x:c r="I207" s="67"/>
      <x:c r="J207" s="67"/>
      <x:c r="K207" s="67"/>
      <x:c r="L207" s="67"/>
      <x:c r="M207" s="67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A208" s="67"/>
      <x:c r="B208" s="67"/>
      <x:c r="C208" s="67"/>
      <x:c r="D208" s="67"/>
      <x:c r="E208" s="67"/>
      <x:c r="F208" s="67"/>
      <x:c r="G208" s="67"/>
      <x:c r="H208" s="67"/>
      <x:c r="I208" s="67"/>
      <x:c r="J208" s="67"/>
      <x:c r="K208" s="67"/>
      <x:c r="L208" s="67"/>
      <x:c r="M208" s="67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A209" s="67"/>
      <x:c r="B209" s="67"/>
      <x:c r="C209" s="67"/>
      <x:c r="D209" s="67"/>
      <x:c r="E209" s="67"/>
      <x:c r="F209" s="67"/>
      <x:c r="G209" s="67"/>
      <x:c r="H209" s="67"/>
      <x:c r="I209" s="67"/>
      <x:c r="J209" s="67"/>
      <x:c r="K209" s="67"/>
      <x:c r="L209" s="67"/>
      <x:c r="M209" s="67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A210" s="67"/>
      <x:c r="B210" s="67"/>
      <x:c r="C210" s="67"/>
      <x:c r="D210" s="67"/>
      <x:c r="E210" s="67"/>
      <x:c r="F210" s="67"/>
      <x:c r="G210" s="67"/>
      <x:c r="H210" s="67"/>
      <x:c r="I210" s="67"/>
      <x:c r="J210" s="67"/>
      <x:c r="K210" s="67"/>
      <x:c r="L210" s="67"/>
      <x:c r="M210" s="67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A211" s="67"/>
      <x:c r="B211" s="67"/>
      <x:c r="C211" s="67"/>
      <x:c r="D211" s="67"/>
      <x:c r="E211" s="67"/>
      <x:c r="F211" s="67"/>
      <x:c r="G211" s="67"/>
      <x:c r="H211" s="67"/>
      <x:c r="I211" s="67"/>
      <x:c r="J211" s="67"/>
      <x:c r="K211" s="67"/>
      <x:c r="L211" s="67"/>
      <x:c r="M211" s="67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A212" s="67"/>
      <x:c r="B212" s="67"/>
      <x:c r="C212" s="67"/>
      <x:c r="D212" s="67"/>
      <x:c r="E212" s="67"/>
      <x:c r="F212" s="67"/>
      <x:c r="G212" s="67"/>
      <x:c r="H212" s="67"/>
      <x:c r="I212" s="67"/>
      <x:c r="J212" s="67"/>
      <x:c r="K212" s="67"/>
      <x:c r="L212" s="67"/>
      <x:c r="M212" s="67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A213" s="67"/>
      <x:c r="B213" s="67"/>
      <x:c r="C213" s="67"/>
      <x:c r="D213" s="67"/>
      <x:c r="E213" s="67"/>
      <x:c r="F213" s="67"/>
      <x:c r="G213" s="67"/>
      <x:c r="H213" s="67"/>
      <x:c r="I213" s="67"/>
      <x:c r="J213" s="67"/>
      <x:c r="K213" s="67"/>
      <x:c r="L213" s="67"/>
      <x:c r="M213" s="67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A214" s="67"/>
      <x:c r="B214" s="67"/>
      <x:c r="C214" s="67"/>
      <x:c r="D214" s="67"/>
      <x:c r="E214" s="67"/>
      <x:c r="F214" s="67"/>
      <x:c r="G214" s="67"/>
      <x:c r="H214" s="67"/>
      <x:c r="I214" s="67"/>
      <x:c r="J214" s="67"/>
      <x:c r="K214" s="67"/>
      <x:c r="L214" s="67"/>
      <x:c r="M214" s="67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A215" s="67"/>
      <x:c r="B215" s="67"/>
      <x:c r="C215" s="67"/>
      <x:c r="D215" s="67"/>
      <x:c r="E215" s="67"/>
      <x:c r="F215" s="67"/>
      <x:c r="G215" s="67"/>
      <x:c r="H215" s="67"/>
      <x:c r="I215" s="67"/>
      <x:c r="J215" s="67"/>
      <x:c r="K215" s="67"/>
      <x:c r="L215" s="67"/>
      <x:c r="M215" s="67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A216" s="67"/>
      <x:c r="B216" s="67"/>
      <x:c r="C216" s="67"/>
      <x:c r="D216" s="67"/>
      <x:c r="E216" s="67"/>
      <x:c r="F216" s="67"/>
      <x:c r="G216" s="67"/>
      <x:c r="H216" s="67"/>
      <x:c r="I216" s="67"/>
      <x:c r="J216" s="67"/>
      <x:c r="K216" s="67"/>
      <x:c r="L216" s="67"/>
      <x:c r="M216" s="67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A217" s="67"/>
      <x:c r="B217" s="67"/>
      <x:c r="C217" s="67"/>
      <x:c r="D217" s="67"/>
      <x:c r="E217" s="67"/>
      <x:c r="F217" s="67"/>
      <x:c r="G217" s="67"/>
      <x:c r="H217" s="67"/>
      <x:c r="I217" s="67"/>
      <x:c r="J217" s="67"/>
      <x:c r="K217" s="67"/>
      <x:c r="L217" s="67"/>
      <x:c r="M217" s="67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A218" s="67"/>
      <x:c r="B218" s="67"/>
      <x:c r="C218" s="67"/>
      <x:c r="D218" s="67"/>
      <x:c r="E218" s="67"/>
      <x:c r="F218" s="67"/>
      <x:c r="G218" s="67"/>
      <x:c r="H218" s="67"/>
      <x:c r="I218" s="67"/>
      <x:c r="J218" s="67"/>
      <x:c r="K218" s="67"/>
      <x:c r="L218" s="67"/>
      <x:c r="M218" s="67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A219" s="67"/>
      <x:c r="B219" s="67"/>
      <x:c r="C219" s="67"/>
      <x:c r="D219" s="67"/>
      <x:c r="E219" s="67"/>
      <x:c r="F219" s="67"/>
      <x:c r="G219" s="67"/>
      <x:c r="H219" s="67"/>
      <x:c r="I219" s="67"/>
      <x:c r="J219" s="67"/>
      <x:c r="K219" s="67"/>
      <x:c r="L219" s="67"/>
      <x:c r="M219" s="67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A220" s="67"/>
      <x:c r="B220" s="67"/>
      <x:c r="C220" s="67"/>
      <x:c r="D220" s="67"/>
      <x:c r="E220" s="67"/>
      <x:c r="F220" s="67"/>
      <x:c r="G220" s="67"/>
      <x:c r="H220" s="67"/>
      <x:c r="I220" s="67"/>
      <x:c r="J220" s="67"/>
      <x:c r="K220" s="67"/>
      <x:c r="L220" s="67"/>
      <x:c r="M220" s="67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A221" s="67"/>
      <x:c r="B221" s="67"/>
      <x:c r="C221" s="67"/>
      <x:c r="D221" s="67"/>
      <x:c r="E221" s="67"/>
      <x:c r="F221" s="67"/>
      <x:c r="G221" s="67"/>
      <x:c r="H221" s="67"/>
      <x:c r="I221" s="67"/>
      <x:c r="J221" s="67"/>
      <x:c r="K221" s="67"/>
      <x:c r="L221" s="67"/>
      <x:c r="M221" s="67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A222" s="67"/>
      <x:c r="B222" s="67"/>
      <x:c r="C222" s="67"/>
      <x:c r="D222" s="67"/>
      <x:c r="E222" s="67"/>
      <x:c r="F222" s="67"/>
      <x:c r="G222" s="67"/>
      <x:c r="H222" s="67"/>
      <x:c r="I222" s="67"/>
      <x:c r="J222" s="67"/>
      <x:c r="K222" s="67"/>
      <x:c r="L222" s="67"/>
      <x:c r="M222" s="67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A223" s="67"/>
      <x:c r="B223" s="67"/>
      <x:c r="C223" s="67"/>
      <x:c r="D223" s="67"/>
      <x:c r="E223" s="67"/>
      <x:c r="F223" s="67"/>
      <x:c r="G223" s="67"/>
      <x:c r="H223" s="67"/>
      <x:c r="I223" s="67"/>
      <x:c r="J223" s="67"/>
      <x:c r="K223" s="67"/>
      <x:c r="L223" s="67"/>
      <x:c r="M223" s="67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A224" s="67"/>
      <x:c r="B224" s="67"/>
      <x:c r="C224" s="67"/>
      <x:c r="D224" s="67"/>
      <x:c r="E224" s="67"/>
      <x:c r="F224" s="67"/>
      <x:c r="G224" s="67"/>
      <x:c r="H224" s="67"/>
      <x:c r="I224" s="67"/>
      <x:c r="J224" s="67"/>
      <x:c r="K224" s="67"/>
      <x:c r="L224" s="67"/>
      <x:c r="M224" s="67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A225" s="67"/>
      <x:c r="B225" s="67"/>
      <x:c r="C225" s="67"/>
      <x:c r="D225" s="67"/>
      <x:c r="E225" s="67"/>
      <x:c r="F225" s="67"/>
      <x:c r="G225" s="67"/>
      <x:c r="H225" s="67"/>
      <x:c r="I225" s="67"/>
      <x:c r="J225" s="67"/>
      <x:c r="K225" s="67"/>
      <x:c r="L225" s="67"/>
      <x:c r="M225" s="67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A226" s="67"/>
      <x:c r="B226" s="67"/>
      <x:c r="C226" s="67"/>
      <x:c r="D226" s="67"/>
      <x:c r="E226" s="67"/>
      <x:c r="F226" s="67"/>
      <x:c r="G226" s="67"/>
      <x:c r="H226" s="67"/>
      <x:c r="I226" s="67"/>
      <x:c r="J226" s="67"/>
      <x:c r="K226" s="67"/>
      <x:c r="L226" s="67"/>
      <x:c r="M226" s="67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A227" s="67"/>
      <x:c r="B227" s="67"/>
      <x:c r="C227" s="67"/>
      <x:c r="D227" s="67"/>
      <x:c r="E227" s="67"/>
      <x:c r="F227" s="67"/>
      <x:c r="G227" s="67"/>
      <x:c r="H227" s="67"/>
      <x:c r="I227" s="67"/>
      <x:c r="J227" s="67"/>
      <x:c r="K227" s="67"/>
      <x:c r="L227" s="67"/>
      <x:c r="M227" s="67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A228" s="67"/>
      <x:c r="B228" s="67"/>
      <x:c r="C228" s="67"/>
      <x:c r="D228" s="67"/>
      <x:c r="E228" s="67"/>
      <x:c r="F228" s="67"/>
      <x:c r="G228" s="67"/>
      <x:c r="H228" s="67"/>
      <x:c r="I228" s="67"/>
      <x:c r="J228" s="67"/>
      <x:c r="K228" s="67"/>
      <x:c r="L228" s="67"/>
      <x:c r="M228" s="67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A229" s="67"/>
      <x:c r="B229" s="67"/>
      <x:c r="C229" s="67"/>
      <x:c r="D229" s="67"/>
      <x:c r="E229" s="67"/>
      <x:c r="F229" s="67"/>
      <x:c r="G229" s="67"/>
      <x:c r="H229" s="67"/>
      <x:c r="I229" s="67"/>
      <x:c r="J229" s="67"/>
      <x:c r="K229" s="67"/>
      <x:c r="L229" s="67"/>
      <x:c r="M229" s="67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A230" s="67"/>
      <x:c r="B230" s="67"/>
      <x:c r="C230" s="67"/>
      <x:c r="D230" s="67"/>
      <x:c r="E230" s="67"/>
      <x:c r="F230" s="67"/>
      <x:c r="G230" s="67"/>
      <x:c r="H230" s="67"/>
      <x:c r="I230" s="67"/>
      <x:c r="J230" s="67"/>
      <x:c r="K230" s="67"/>
      <x:c r="L230" s="67"/>
      <x:c r="M230" s="67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A231" s="67"/>
      <x:c r="B231" s="67"/>
      <x:c r="C231" s="67"/>
      <x:c r="D231" s="67"/>
      <x:c r="E231" s="67"/>
      <x:c r="F231" s="67"/>
      <x:c r="G231" s="67"/>
      <x:c r="H231" s="67"/>
      <x:c r="I231" s="67"/>
      <x:c r="J231" s="67"/>
      <x:c r="K231" s="67"/>
      <x:c r="L231" s="67"/>
      <x:c r="M231" s="67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A232" s="67"/>
      <x:c r="B232" s="67"/>
      <x:c r="C232" s="67"/>
      <x:c r="D232" s="67"/>
      <x:c r="E232" s="67"/>
      <x:c r="F232" s="67"/>
      <x:c r="G232" s="67"/>
      <x:c r="H232" s="67"/>
      <x:c r="I232" s="67"/>
      <x:c r="J232" s="67"/>
      <x:c r="K232" s="67"/>
      <x:c r="L232" s="67"/>
      <x:c r="M232" s="67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A233" s="67"/>
      <x:c r="B233" s="67"/>
      <x:c r="C233" s="67"/>
      <x:c r="D233" s="67"/>
      <x:c r="E233" s="67"/>
      <x:c r="F233" s="67"/>
      <x:c r="G233" s="67"/>
      <x:c r="H233" s="67"/>
      <x:c r="I233" s="67"/>
      <x:c r="J233" s="67"/>
      <x:c r="K233" s="67"/>
      <x:c r="L233" s="67"/>
      <x:c r="M233" s="67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A234" s="67"/>
      <x:c r="B234" s="67"/>
      <x:c r="C234" s="67"/>
      <x:c r="D234" s="67"/>
      <x:c r="E234" s="67"/>
      <x:c r="F234" s="67"/>
      <x:c r="G234" s="67"/>
      <x:c r="H234" s="67"/>
      <x:c r="I234" s="67"/>
      <x:c r="J234" s="67"/>
      <x:c r="K234" s="67"/>
      <x:c r="L234" s="67"/>
      <x:c r="M234" s="67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A235" s="67"/>
      <x:c r="B235" s="67"/>
      <x:c r="C235" s="67"/>
      <x:c r="D235" s="67"/>
      <x:c r="E235" s="67"/>
      <x:c r="F235" s="67"/>
      <x:c r="G235" s="67"/>
      <x:c r="H235" s="67"/>
      <x:c r="I235" s="67"/>
      <x:c r="J235" s="67"/>
      <x:c r="K235" s="67"/>
      <x:c r="L235" s="67"/>
      <x:c r="M235" s="67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A236" s="67"/>
      <x:c r="B236" s="67"/>
      <x:c r="C236" s="67"/>
      <x:c r="D236" s="67"/>
      <x:c r="E236" s="67"/>
      <x:c r="F236" s="67"/>
      <x:c r="G236" s="67"/>
      <x:c r="H236" s="67"/>
      <x:c r="I236" s="67"/>
      <x:c r="J236" s="67"/>
      <x:c r="K236" s="67"/>
      <x:c r="L236" s="67"/>
      <x:c r="M236" s="67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A237" s="67"/>
      <x:c r="B237" s="67"/>
      <x:c r="C237" s="67"/>
      <x:c r="D237" s="67"/>
      <x:c r="E237" s="67"/>
      <x:c r="F237" s="67"/>
      <x:c r="G237" s="67"/>
      <x:c r="H237" s="67"/>
      <x:c r="I237" s="67"/>
      <x:c r="J237" s="67"/>
      <x:c r="K237" s="67"/>
      <x:c r="L237" s="67"/>
      <x:c r="M237" s="67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A238" s="67"/>
      <x:c r="B238" s="67"/>
      <x:c r="C238" s="67"/>
      <x:c r="D238" s="67"/>
      <x:c r="E238" s="67"/>
      <x:c r="F238" s="67"/>
      <x:c r="G238" s="67"/>
      <x:c r="H238" s="67"/>
      <x:c r="I238" s="67"/>
      <x:c r="J238" s="67"/>
      <x:c r="K238" s="67"/>
      <x:c r="L238" s="67"/>
      <x:c r="M238" s="67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A239" s="67"/>
      <x:c r="B239" s="67"/>
      <x:c r="C239" s="67"/>
      <x:c r="D239" s="67"/>
      <x:c r="E239" s="67"/>
      <x:c r="F239" s="67"/>
      <x:c r="G239" s="67"/>
      <x:c r="H239" s="67"/>
      <x:c r="I239" s="67"/>
      <x:c r="J239" s="67"/>
      <x:c r="K239" s="67"/>
      <x:c r="L239" s="67"/>
      <x:c r="M239" s="67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A240" s="67"/>
      <x:c r="B240" s="67"/>
      <x:c r="C240" s="67"/>
      <x:c r="D240" s="67"/>
      <x:c r="E240" s="67"/>
      <x:c r="F240" s="67"/>
      <x:c r="G240" s="67"/>
      <x:c r="H240" s="67"/>
      <x:c r="I240" s="67"/>
      <x:c r="J240" s="67"/>
      <x:c r="K240" s="67"/>
      <x:c r="L240" s="67"/>
      <x:c r="M240" s="67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A241" s="67"/>
      <x:c r="B241" s="67"/>
      <x:c r="C241" s="67"/>
      <x:c r="D241" s="67"/>
      <x:c r="E241" s="67"/>
      <x:c r="F241" s="67"/>
      <x:c r="G241" s="67"/>
      <x:c r="H241" s="67"/>
      <x:c r="I241" s="67"/>
      <x:c r="J241" s="67"/>
      <x:c r="K241" s="67"/>
      <x:c r="L241" s="67"/>
      <x:c r="M241" s="67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A242" s="67"/>
      <x:c r="B242" s="67"/>
      <x:c r="C242" s="67"/>
      <x:c r="D242" s="67"/>
      <x:c r="E242" s="67"/>
      <x:c r="F242" s="67"/>
      <x:c r="G242" s="67"/>
      <x:c r="H242" s="67"/>
      <x:c r="I242" s="67"/>
      <x:c r="J242" s="67"/>
      <x:c r="K242" s="67"/>
      <x:c r="L242" s="67"/>
      <x:c r="M242" s="67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A243" s="67"/>
      <x:c r="B243" s="67"/>
      <x:c r="C243" s="67"/>
      <x:c r="D243" s="67"/>
      <x:c r="E243" s="67"/>
      <x:c r="F243" s="67"/>
      <x:c r="G243" s="67"/>
      <x:c r="H243" s="67"/>
      <x:c r="I243" s="67"/>
      <x:c r="J243" s="67"/>
      <x:c r="K243" s="67"/>
      <x:c r="L243" s="67"/>
      <x:c r="M243" s="67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  <x:c r="L244" s="67"/>
      <x:c r="M244" s="67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A245" s="67"/>
      <x:c r="B245" s="67"/>
      <x:c r="C245" s="67"/>
      <x:c r="D245" s="67"/>
      <x:c r="E245" s="67"/>
      <x:c r="F245" s="67"/>
      <x:c r="G245" s="67"/>
      <x:c r="H245" s="67"/>
      <x:c r="I245" s="67"/>
      <x:c r="J245" s="67"/>
      <x:c r="K245" s="67"/>
      <x:c r="L245" s="67"/>
      <x:c r="M245" s="67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A246" s="67"/>
      <x:c r="B246" s="67"/>
      <x:c r="C246" s="67"/>
      <x:c r="D246" s="67"/>
      <x:c r="E246" s="67"/>
      <x:c r="F246" s="67"/>
      <x:c r="G246" s="67"/>
      <x:c r="H246" s="67"/>
      <x:c r="I246" s="67"/>
      <x:c r="J246" s="67"/>
      <x:c r="K246" s="67"/>
      <x:c r="L246" s="67"/>
      <x:c r="M246" s="67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A247" s="67"/>
      <x:c r="B247" s="67"/>
      <x:c r="C247" s="67"/>
      <x:c r="D247" s="67"/>
      <x:c r="E247" s="67"/>
      <x:c r="F247" s="67"/>
      <x:c r="G247" s="67"/>
      <x:c r="H247" s="67"/>
      <x:c r="I247" s="67"/>
      <x:c r="J247" s="67"/>
      <x:c r="K247" s="67"/>
      <x:c r="L247" s="67"/>
      <x:c r="M247" s="67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A248" s="67"/>
      <x:c r="B248" s="67"/>
      <x:c r="C248" s="67"/>
      <x:c r="D248" s="67"/>
      <x:c r="E248" s="67"/>
      <x:c r="F248" s="67"/>
      <x:c r="G248" s="67"/>
      <x:c r="H248" s="67"/>
      <x:c r="I248" s="67"/>
      <x:c r="J248" s="67"/>
      <x:c r="K248" s="67"/>
      <x:c r="L248" s="67"/>
      <x:c r="M248" s="67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A249" s="67"/>
      <x:c r="B249" s="67"/>
      <x:c r="C249" s="67"/>
      <x:c r="D249" s="67"/>
      <x:c r="E249" s="67"/>
      <x:c r="F249" s="67"/>
      <x:c r="G249" s="67"/>
      <x:c r="H249" s="67"/>
      <x:c r="I249" s="67"/>
      <x:c r="J249" s="67"/>
      <x:c r="K249" s="67"/>
      <x:c r="L249" s="67"/>
      <x:c r="M249" s="67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A250" s="67"/>
      <x:c r="B250" s="67"/>
      <x:c r="C250" s="67"/>
      <x:c r="D250" s="67"/>
      <x:c r="E250" s="67"/>
      <x:c r="F250" s="67"/>
      <x:c r="G250" s="67"/>
      <x:c r="H250" s="67"/>
      <x:c r="I250" s="67"/>
      <x:c r="J250" s="67"/>
      <x:c r="K250" s="67"/>
      <x:c r="L250" s="67"/>
      <x:c r="M250" s="67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A251" s="67"/>
      <x:c r="B251" s="67"/>
      <x:c r="C251" s="67"/>
      <x:c r="D251" s="67"/>
      <x:c r="E251" s="67"/>
      <x:c r="F251" s="67"/>
      <x:c r="G251" s="67"/>
      <x:c r="H251" s="67"/>
      <x:c r="I251" s="67"/>
      <x:c r="J251" s="67"/>
      <x:c r="K251" s="67"/>
      <x:c r="L251" s="67"/>
      <x:c r="M251" s="67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A252" s="67"/>
      <x:c r="B252" s="67"/>
      <x:c r="C252" s="67"/>
      <x:c r="D252" s="67"/>
      <x:c r="E252" s="67"/>
      <x:c r="F252" s="67"/>
      <x:c r="G252" s="67"/>
      <x:c r="H252" s="67"/>
      <x:c r="I252" s="67"/>
      <x:c r="J252" s="67"/>
      <x:c r="K252" s="67"/>
      <x:c r="L252" s="67"/>
      <x:c r="M252" s="67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A253" s="67"/>
      <x:c r="B253" s="67"/>
      <x:c r="C253" s="67"/>
      <x:c r="D253" s="67"/>
      <x:c r="E253" s="67"/>
      <x:c r="F253" s="67"/>
      <x:c r="G253" s="67"/>
      <x:c r="H253" s="67"/>
      <x:c r="I253" s="67"/>
      <x:c r="J253" s="67"/>
      <x:c r="K253" s="67"/>
      <x:c r="L253" s="67"/>
      <x:c r="M253" s="67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A254" s="67"/>
      <x:c r="B254" s="67"/>
      <x:c r="C254" s="67"/>
      <x:c r="D254" s="67"/>
      <x:c r="E254" s="67"/>
      <x:c r="F254" s="67"/>
      <x:c r="G254" s="67"/>
      <x:c r="H254" s="67"/>
      <x:c r="I254" s="67"/>
      <x:c r="J254" s="67"/>
      <x:c r="K254" s="67"/>
      <x:c r="L254" s="67"/>
      <x:c r="M254" s="67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A255" s="67"/>
      <x:c r="B255" s="67"/>
      <x:c r="C255" s="67"/>
      <x:c r="D255" s="67"/>
      <x:c r="E255" s="67"/>
      <x:c r="F255" s="67"/>
      <x:c r="G255" s="67"/>
      <x:c r="H255" s="67"/>
      <x:c r="I255" s="67"/>
      <x:c r="J255" s="67"/>
      <x:c r="K255" s="67"/>
      <x:c r="L255" s="67"/>
      <x:c r="M255" s="67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A256" s="67"/>
      <x:c r="B256" s="67"/>
      <x:c r="C256" s="67"/>
      <x:c r="D256" s="67"/>
      <x:c r="E256" s="67"/>
      <x:c r="F256" s="67"/>
      <x:c r="G256" s="67"/>
      <x:c r="H256" s="67"/>
      <x:c r="I256" s="67"/>
      <x:c r="J256" s="67"/>
      <x:c r="K256" s="67"/>
      <x:c r="L256" s="67"/>
      <x:c r="M256" s="67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A257" s="67"/>
      <x:c r="B257" s="67"/>
      <x:c r="C257" s="67"/>
      <x:c r="D257" s="67"/>
      <x:c r="E257" s="67"/>
      <x:c r="F257" s="67"/>
      <x:c r="G257" s="67"/>
      <x:c r="H257" s="67"/>
      <x:c r="I257" s="67"/>
      <x:c r="J257" s="67"/>
      <x:c r="K257" s="67"/>
      <x:c r="L257" s="67"/>
      <x:c r="M257" s="67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A258" s="67"/>
      <x:c r="B258" s="67"/>
      <x:c r="C258" s="67"/>
      <x:c r="D258" s="67"/>
      <x:c r="E258" s="67"/>
      <x:c r="F258" s="67"/>
      <x:c r="G258" s="67"/>
      <x:c r="H258" s="67"/>
      <x:c r="I258" s="67"/>
      <x:c r="J258" s="67"/>
      <x:c r="K258" s="67"/>
      <x:c r="L258" s="67"/>
      <x:c r="M258" s="67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A259" s="67"/>
      <x:c r="B259" s="67"/>
      <x:c r="C259" s="67"/>
      <x:c r="D259" s="67"/>
      <x:c r="E259" s="67"/>
      <x:c r="F259" s="67"/>
      <x:c r="G259" s="67"/>
      <x:c r="H259" s="67"/>
      <x:c r="I259" s="67"/>
      <x:c r="J259" s="67"/>
      <x:c r="K259" s="67"/>
      <x:c r="L259" s="67"/>
      <x:c r="M259" s="67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A260" s="67"/>
      <x:c r="B260" s="67"/>
      <x:c r="C260" s="67"/>
      <x:c r="D260" s="67"/>
      <x:c r="E260" s="67"/>
      <x:c r="F260" s="67"/>
      <x:c r="G260" s="67"/>
      <x:c r="H260" s="67"/>
      <x:c r="I260" s="67"/>
      <x:c r="J260" s="67"/>
      <x:c r="K260" s="67"/>
      <x:c r="L260" s="67"/>
      <x:c r="M260" s="67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A261" s="67"/>
      <x:c r="B261" s="67"/>
      <x:c r="C261" s="67"/>
      <x:c r="D261" s="67"/>
      <x:c r="E261" s="67"/>
      <x:c r="F261" s="67"/>
      <x:c r="G261" s="67"/>
      <x:c r="H261" s="67"/>
      <x:c r="I261" s="67"/>
      <x:c r="J261" s="67"/>
      <x:c r="K261" s="67"/>
      <x:c r="L261" s="67"/>
      <x:c r="M261" s="67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A262" s="67"/>
      <x:c r="B262" s="67"/>
      <x:c r="C262" s="67"/>
      <x:c r="D262" s="67"/>
      <x:c r="E262" s="67"/>
      <x:c r="F262" s="67"/>
      <x:c r="G262" s="67"/>
      <x:c r="H262" s="67"/>
      <x:c r="I262" s="67"/>
      <x:c r="J262" s="67"/>
      <x:c r="K262" s="67"/>
      <x:c r="L262" s="67"/>
      <x:c r="M262" s="67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A263" s="67"/>
      <x:c r="B263" s="67"/>
      <x:c r="C263" s="67"/>
      <x:c r="D263" s="67"/>
      <x:c r="E263" s="67"/>
      <x:c r="F263" s="67"/>
      <x:c r="G263" s="67"/>
      <x:c r="H263" s="67"/>
      <x:c r="I263" s="67"/>
      <x:c r="J263" s="67"/>
      <x:c r="K263" s="67"/>
      <x:c r="L263" s="67"/>
      <x:c r="M263" s="67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A264" s="67"/>
      <x:c r="B264" s="67"/>
      <x:c r="C264" s="67"/>
      <x:c r="D264" s="67"/>
      <x:c r="E264" s="67"/>
      <x:c r="F264" s="67"/>
      <x:c r="G264" s="67"/>
      <x:c r="H264" s="67"/>
      <x:c r="I264" s="67"/>
      <x:c r="J264" s="67"/>
      <x:c r="K264" s="67"/>
      <x:c r="L264" s="67"/>
      <x:c r="M264" s="67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A265" s="67"/>
      <x:c r="B265" s="67"/>
      <x:c r="C265" s="67"/>
      <x:c r="D265" s="67"/>
      <x:c r="E265" s="67"/>
      <x:c r="F265" s="67"/>
      <x:c r="G265" s="67"/>
      <x:c r="H265" s="67"/>
      <x:c r="I265" s="67"/>
      <x:c r="J265" s="67"/>
      <x:c r="K265" s="67"/>
      <x:c r="L265" s="67"/>
      <x:c r="M265" s="67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A266" s="67"/>
      <x:c r="B266" s="67"/>
      <x:c r="C266" s="67"/>
      <x:c r="D266" s="67"/>
      <x:c r="E266" s="67"/>
      <x:c r="F266" s="67"/>
      <x:c r="G266" s="67"/>
      <x:c r="H266" s="67"/>
      <x:c r="I266" s="67"/>
      <x:c r="J266" s="67"/>
      <x:c r="K266" s="67"/>
      <x:c r="L266" s="67"/>
      <x:c r="M266" s="67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A267" s="67"/>
      <x:c r="B267" s="67"/>
      <x:c r="C267" s="67"/>
      <x:c r="D267" s="67"/>
      <x:c r="E267" s="67"/>
      <x:c r="F267" s="67"/>
      <x:c r="G267" s="67"/>
      <x:c r="H267" s="67"/>
      <x:c r="I267" s="67"/>
      <x:c r="J267" s="67"/>
      <x:c r="K267" s="67"/>
      <x:c r="L267" s="67"/>
      <x:c r="M267" s="67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A268" s="67"/>
      <x:c r="B268" s="67"/>
      <x:c r="C268" s="67"/>
      <x:c r="D268" s="67"/>
      <x:c r="E268" s="67"/>
      <x:c r="F268" s="67"/>
      <x:c r="G268" s="67"/>
      <x:c r="H268" s="67"/>
      <x:c r="I268" s="67"/>
      <x:c r="J268" s="67"/>
      <x:c r="K268" s="67"/>
      <x:c r="L268" s="67"/>
      <x:c r="M268" s="67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A269" s="67"/>
      <x:c r="B269" s="67"/>
      <x:c r="C269" s="67"/>
      <x:c r="D269" s="67"/>
      <x:c r="E269" s="67"/>
      <x:c r="F269" s="67"/>
      <x:c r="G269" s="67"/>
      <x:c r="H269" s="67"/>
      <x:c r="I269" s="67"/>
      <x:c r="J269" s="67"/>
      <x:c r="K269" s="67"/>
      <x:c r="L269" s="67"/>
      <x:c r="M269" s="67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A270" s="67"/>
      <x:c r="B270" s="67"/>
      <x:c r="C270" s="67"/>
      <x:c r="D270" s="67"/>
      <x:c r="E270" s="67"/>
      <x:c r="F270" s="67"/>
      <x:c r="G270" s="67"/>
      <x:c r="H270" s="67"/>
      <x:c r="I270" s="67"/>
      <x:c r="J270" s="67"/>
      <x:c r="K270" s="67"/>
      <x:c r="L270" s="67"/>
      <x:c r="M270" s="67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A271" s="67"/>
      <x:c r="B271" s="67"/>
      <x:c r="C271" s="67"/>
      <x:c r="D271" s="67"/>
      <x:c r="E271" s="67"/>
      <x:c r="F271" s="67"/>
      <x:c r="G271" s="67"/>
      <x:c r="H271" s="67"/>
      <x:c r="I271" s="67"/>
      <x:c r="J271" s="67"/>
      <x:c r="K271" s="67"/>
      <x:c r="L271" s="67"/>
      <x:c r="M271" s="67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A272" s="67"/>
      <x:c r="B272" s="67"/>
      <x:c r="C272" s="67"/>
      <x:c r="D272" s="67"/>
      <x:c r="E272" s="67"/>
      <x:c r="F272" s="67"/>
      <x:c r="G272" s="67"/>
      <x:c r="H272" s="67"/>
      <x:c r="I272" s="67"/>
      <x:c r="J272" s="67"/>
      <x:c r="K272" s="67"/>
      <x:c r="L272" s="67"/>
      <x:c r="M272" s="67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A273" s="67"/>
      <x:c r="B273" s="67"/>
      <x:c r="C273" s="67"/>
      <x:c r="D273" s="67"/>
      <x:c r="E273" s="67"/>
      <x:c r="F273" s="67"/>
      <x:c r="G273" s="67"/>
      <x:c r="H273" s="67"/>
      <x:c r="I273" s="67"/>
      <x:c r="J273" s="67"/>
      <x:c r="K273" s="67"/>
      <x:c r="L273" s="67"/>
      <x:c r="M273" s="67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A274" s="67"/>
      <x:c r="B274" s="67"/>
      <x:c r="C274" s="67"/>
      <x:c r="D274" s="67"/>
      <x:c r="E274" s="67"/>
      <x:c r="F274" s="67"/>
      <x:c r="G274" s="67"/>
      <x:c r="H274" s="67"/>
      <x:c r="I274" s="67"/>
      <x:c r="J274" s="67"/>
      <x:c r="K274" s="67"/>
      <x:c r="L274" s="67"/>
      <x:c r="M274" s="67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A275" s="67"/>
      <x:c r="B275" s="67"/>
      <x:c r="C275" s="67"/>
      <x:c r="D275" s="67"/>
      <x:c r="E275" s="67"/>
      <x:c r="F275" s="67"/>
      <x:c r="G275" s="67"/>
      <x:c r="H275" s="67"/>
      <x:c r="I275" s="67"/>
      <x:c r="J275" s="67"/>
      <x:c r="K275" s="67"/>
      <x:c r="L275" s="67"/>
      <x:c r="M275" s="67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A276" s="67"/>
      <x:c r="B276" s="67"/>
      <x:c r="C276" s="67"/>
      <x:c r="D276" s="67"/>
      <x:c r="E276" s="67"/>
      <x:c r="F276" s="67"/>
      <x:c r="G276" s="67"/>
      <x:c r="H276" s="67"/>
      <x:c r="I276" s="67"/>
      <x:c r="J276" s="67"/>
      <x:c r="K276" s="67"/>
      <x:c r="L276" s="67"/>
      <x:c r="M276" s="67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A277" s="67"/>
      <x:c r="B277" s="67"/>
      <x:c r="C277" s="67"/>
      <x:c r="D277" s="67"/>
      <x:c r="E277" s="67"/>
      <x:c r="F277" s="67"/>
      <x:c r="G277" s="67"/>
      <x:c r="H277" s="67"/>
      <x:c r="I277" s="67"/>
      <x:c r="J277" s="67"/>
      <x:c r="K277" s="67"/>
      <x:c r="L277" s="67"/>
      <x:c r="M277" s="67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A278" s="67"/>
      <x:c r="B278" s="67"/>
      <x:c r="C278" s="67"/>
      <x:c r="D278" s="67"/>
      <x:c r="E278" s="67"/>
      <x:c r="F278" s="67"/>
      <x:c r="G278" s="67"/>
      <x:c r="H278" s="67"/>
      <x:c r="I278" s="67"/>
      <x:c r="J278" s="67"/>
      <x:c r="K278" s="67"/>
      <x:c r="L278" s="67"/>
      <x:c r="M278" s="67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A279" s="67"/>
      <x:c r="B279" s="67"/>
      <x:c r="C279" s="67"/>
      <x:c r="D279" s="67"/>
      <x:c r="E279" s="67"/>
      <x:c r="F279" s="67"/>
      <x:c r="G279" s="67"/>
      <x:c r="H279" s="67"/>
      <x:c r="I279" s="67"/>
      <x:c r="J279" s="67"/>
      <x:c r="K279" s="67"/>
      <x:c r="L279" s="67"/>
      <x:c r="M279" s="67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A280" s="67"/>
      <x:c r="B280" s="67"/>
      <x:c r="C280" s="67"/>
      <x:c r="D280" s="67"/>
      <x:c r="E280" s="67"/>
      <x:c r="F280" s="67"/>
      <x:c r="G280" s="67"/>
      <x:c r="H280" s="67"/>
      <x:c r="I280" s="67"/>
      <x:c r="J280" s="67"/>
      <x:c r="K280" s="67"/>
      <x:c r="L280" s="67"/>
      <x:c r="M280" s="67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A281" s="67"/>
      <x:c r="B281" s="67"/>
      <x:c r="C281" s="67"/>
      <x:c r="D281" s="67"/>
      <x:c r="E281" s="67"/>
      <x:c r="F281" s="67"/>
      <x:c r="G281" s="67"/>
      <x:c r="H281" s="67"/>
      <x:c r="I281" s="67"/>
      <x:c r="J281" s="67"/>
      <x:c r="K281" s="67"/>
      <x:c r="L281" s="67"/>
      <x:c r="M281" s="67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A282" s="67"/>
      <x:c r="B282" s="67"/>
      <x:c r="C282" s="67"/>
      <x:c r="D282" s="67"/>
      <x:c r="E282" s="67"/>
      <x:c r="F282" s="67"/>
      <x:c r="G282" s="67"/>
      <x:c r="H282" s="67"/>
      <x:c r="I282" s="67"/>
      <x:c r="J282" s="67"/>
      <x:c r="K282" s="67"/>
      <x:c r="L282" s="67"/>
      <x:c r="M282" s="67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A283" s="67"/>
      <x:c r="B283" s="67"/>
      <x:c r="C283" s="67"/>
      <x:c r="D283" s="67"/>
      <x:c r="E283" s="67"/>
      <x:c r="F283" s="67"/>
      <x:c r="G283" s="67"/>
      <x:c r="H283" s="67"/>
      <x:c r="I283" s="67"/>
      <x:c r="J283" s="67"/>
      <x:c r="K283" s="67"/>
      <x:c r="L283" s="67"/>
      <x:c r="M283" s="67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A284" s="67"/>
      <x:c r="B284" s="67"/>
      <x:c r="C284" s="67"/>
      <x:c r="D284" s="67"/>
      <x:c r="E284" s="67"/>
      <x:c r="F284" s="67"/>
      <x:c r="G284" s="67"/>
      <x:c r="H284" s="67"/>
      <x:c r="I284" s="67"/>
      <x:c r="J284" s="67"/>
      <x:c r="K284" s="67"/>
      <x:c r="L284" s="67"/>
      <x:c r="M284" s="67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A285" s="67"/>
      <x:c r="B285" s="67"/>
      <x:c r="C285" s="67"/>
      <x:c r="D285" s="67"/>
      <x:c r="E285" s="67"/>
      <x:c r="F285" s="67"/>
      <x:c r="G285" s="67"/>
      <x:c r="H285" s="67"/>
      <x:c r="I285" s="67"/>
      <x:c r="J285" s="67"/>
      <x:c r="K285" s="67"/>
      <x:c r="L285" s="67"/>
      <x:c r="M285" s="67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A286" s="67"/>
      <x:c r="B286" s="67"/>
      <x:c r="C286" s="67"/>
      <x:c r="D286" s="67"/>
      <x:c r="E286" s="67"/>
      <x:c r="F286" s="67"/>
      <x:c r="G286" s="67"/>
      <x:c r="H286" s="67"/>
      <x:c r="I286" s="67"/>
      <x:c r="J286" s="67"/>
      <x:c r="K286" s="67"/>
      <x:c r="L286" s="67"/>
      <x:c r="M286" s="67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A287" s="67"/>
      <x:c r="B287" s="67"/>
      <x:c r="C287" s="67"/>
      <x:c r="D287" s="67"/>
      <x:c r="E287" s="67"/>
      <x:c r="F287" s="67"/>
      <x:c r="G287" s="67"/>
      <x:c r="H287" s="67"/>
      <x:c r="I287" s="67"/>
      <x:c r="J287" s="67"/>
      <x:c r="K287" s="67"/>
      <x:c r="L287" s="67"/>
      <x:c r="M287" s="67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A288" s="67"/>
      <x:c r="B288" s="67"/>
      <x:c r="C288" s="67"/>
      <x:c r="D288" s="67"/>
      <x:c r="E288" s="67"/>
      <x:c r="F288" s="67"/>
      <x:c r="G288" s="67"/>
      <x:c r="H288" s="67"/>
      <x:c r="I288" s="67"/>
      <x:c r="J288" s="67"/>
      <x:c r="K288" s="67"/>
      <x:c r="L288" s="67"/>
      <x:c r="M288" s="67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A289" s="67"/>
      <x:c r="B289" s="67"/>
      <x:c r="C289" s="67"/>
      <x:c r="D289" s="67"/>
      <x:c r="E289" s="67"/>
      <x:c r="F289" s="67"/>
      <x:c r="G289" s="67"/>
      <x:c r="H289" s="67"/>
      <x:c r="I289" s="67"/>
      <x:c r="J289" s="67"/>
      <x:c r="K289" s="67"/>
      <x:c r="L289" s="67"/>
      <x:c r="M289" s="67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A290" s="67"/>
      <x:c r="B290" s="67"/>
      <x:c r="C290" s="67"/>
      <x:c r="D290" s="67"/>
      <x:c r="E290" s="67"/>
      <x:c r="F290" s="67"/>
      <x:c r="G290" s="67"/>
      <x:c r="H290" s="67"/>
      <x:c r="I290" s="67"/>
      <x:c r="J290" s="67"/>
      <x:c r="K290" s="67"/>
      <x:c r="L290" s="67"/>
      <x:c r="M290" s="67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A291" s="67"/>
      <x:c r="B291" s="67"/>
      <x:c r="C291" s="67"/>
      <x:c r="D291" s="67"/>
      <x:c r="E291" s="67"/>
      <x:c r="F291" s="67"/>
      <x:c r="G291" s="67"/>
      <x:c r="H291" s="67"/>
      <x:c r="I291" s="67"/>
      <x:c r="J291" s="67"/>
      <x:c r="K291" s="67"/>
      <x:c r="L291" s="67"/>
      <x:c r="M291" s="67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A292" s="67"/>
      <x:c r="B292" s="67"/>
      <x:c r="C292" s="67"/>
      <x:c r="D292" s="67"/>
      <x:c r="E292" s="67"/>
      <x:c r="F292" s="67"/>
      <x:c r="G292" s="67"/>
      <x:c r="H292" s="67"/>
      <x:c r="I292" s="67"/>
      <x:c r="J292" s="67"/>
      <x:c r="K292" s="67"/>
      <x:c r="L292" s="67"/>
      <x:c r="M292" s="67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A293" s="67"/>
      <x:c r="B293" s="67"/>
      <x:c r="C293" s="67"/>
      <x:c r="D293" s="67"/>
      <x:c r="E293" s="67"/>
      <x:c r="F293" s="67"/>
      <x:c r="G293" s="67"/>
      <x:c r="H293" s="67"/>
      <x:c r="I293" s="67"/>
      <x:c r="J293" s="67"/>
      <x:c r="K293" s="67"/>
      <x:c r="L293" s="67"/>
      <x:c r="M293" s="67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A294" s="67"/>
      <x:c r="B294" s="67"/>
      <x:c r="C294" s="67"/>
      <x:c r="D294" s="67"/>
      <x:c r="E294" s="67"/>
      <x:c r="F294" s="67"/>
      <x:c r="G294" s="67"/>
      <x:c r="H294" s="67"/>
      <x:c r="I294" s="67"/>
      <x:c r="J294" s="67"/>
      <x:c r="K294" s="67"/>
      <x:c r="L294" s="67"/>
      <x:c r="M294" s="67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A295" s="67"/>
      <x:c r="B295" s="67"/>
      <x:c r="C295" s="67"/>
      <x:c r="D295" s="67"/>
      <x:c r="E295" s="67"/>
      <x:c r="F295" s="67"/>
      <x:c r="G295" s="67"/>
      <x:c r="H295" s="67"/>
      <x:c r="I295" s="67"/>
      <x:c r="J295" s="67"/>
      <x:c r="K295" s="67"/>
      <x:c r="L295" s="67"/>
      <x:c r="M295" s="67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A296" s="67"/>
      <x:c r="B296" s="67"/>
      <x:c r="C296" s="67"/>
      <x:c r="D296" s="67"/>
      <x:c r="E296" s="67"/>
      <x:c r="F296" s="67"/>
      <x:c r="G296" s="67"/>
      <x:c r="H296" s="67"/>
      <x:c r="I296" s="67"/>
      <x:c r="J296" s="67"/>
      <x:c r="K296" s="67"/>
      <x:c r="L296" s="67"/>
      <x:c r="M296" s="67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A297" s="67"/>
      <x:c r="B297" s="67"/>
      <x:c r="C297" s="67"/>
      <x:c r="D297" s="67"/>
      <x:c r="E297" s="67"/>
      <x:c r="F297" s="67"/>
      <x:c r="G297" s="67"/>
      <x:c r="H297" s="67"/>
      <x:c r="I297" s="67"/>
      <x:c r="J297" s="67"/>
      <x:c r="K297" s="67"/>
      <x:c r="L297" s="67"/>
      <x:c r="M297" s="67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A298" s="67"/>
      <x:c r="B298" s="67"/>
      <x:c r="C298" s="67"/>
      <x:c r="D298" s="67"/>
      <x:c r="E298" s="67"/>
      <x:c r="F298" s="67"/>
      <x:c r="G298" s="67"/>
      <x:c r="H298" s="67"/>
      <x:c r="I298" s="67"/>
      <x:c r="J298" s="67"/>
      <x:c r="K298" s="67"/>
      <x:c r="L298" s="67"/>
      <x:c r="M298" s="67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A299" s="67"/>
      <x:c r="B299" s="67"/>
      <x:c r="C299" s="67"/>
      <x:c r="D299" s="67"/>
      <x:c r="E299" s="67"/>
      <x:c r="F299" s="67"/>
      <x:c r="G299" s="67"/>
      <x:c r="H299" s="67"/>
      <x:c r="I299" s="67"/>
      <x:c r="J299" s="67"/>
      <x:c r="K299" s="67"/>
      <x:c r="L299" s="67"/>
      <x:c r="M299" s="67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A300" s="67"/>
      <x:c r="B300" s="67"/>
      <x:c r="C300" s="67"/>
      <x:c r="D300" s="67"/>
      <x:c r="E300" s="67"/>
      <x:c r="F300" s="67"/>
      <x:c r="G300" s="67"/>
      <x:c r="H300" s="67"/>
      <x:c r="I300" s="67"/>
      <x:c r="J300" s="67"/>
      <x:c r="K300" s="67"/>
      <x:c r="L300" s="67"/>
      <x:c r="M300" s="67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</x:sheetData>
  <x:mergeCells>
    <x:mergeCell ref="A1:E1"/>
  </x:mergeCells>
  <x:pageMargins left="0.7" right="0.7" top="0.75" bottom="0.75" header="0.3" footer="0.3"/>
</x:worksheet>
</file>