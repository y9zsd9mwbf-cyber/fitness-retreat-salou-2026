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7760" windowHeight="14880" activeTab="1"/>
  </bookViews>
  <sheets>
    <sheet name="Dashboard" sheetId="1" r:id="rId1"/>
    <sheet name="Inputs" sheetId="2" r:id="rId2"/>
    <sheet name="Income" sheetId="3" r:id="rId3"/>
    <sheet name="Expenses" sheetId="4" r:id="rId4"/>
    <sheet name="Participants" sheetId="5" r:id="rId5"/>
    <sheet name="Tasks" sheetId="6" r:id="rId6"/>
    <sheet name="Legal &amp; Insurance" sheetId="7" r:id="rId7"/>
    <sheet name="Lists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<sst xmlns="http://schemas.openxmlformats.org/spreadsheetml/2006/main" count="348" uniqueCount="168">
  <si>
    <t>NA TALIYA CLUB — Retreat Finance &amp; Project Dashboard</t>
  </si>
  <si>
    <t>Показатель</t>
  </si>
  <si>
    <t>Значение</t>
  </si>
  <si>
    <t>Сценарий</t>
  </si>
  <si>
    <t>Участниц</t>
  </si>
  <si>
    <t>Доход</t>
  </si>
  <si>
    <t>Расходы</t>
  </si>
  <si>
    <t>Прибыль</t>
  </si>
  <si>
    <t>Цена тура</t>
  </si>
  <si>
    <t>Минимум</t>
  </si>
  <si>
    <t>Текущий план участниц</t>
  </si>
  <si>
    <t>Хороший</t>
  </si>
  <si>
    <t>Подтверждено сейчас</t>
  </si>
  <si>
    <t>Отличный</t>
  </si>
  <si>
    <t>Собрано депозитов</t>
  </si>
  <si>
    <t>Расходы по смете</t>
  </si>
  <si>
    <t>Плановый доход</t>
  </si>
  <si>
    <t>Категория</t>
  </si>
  <si>
    <t>Сумма</t>
  </si>
  <si>
    <t>Доля</t>
  </si>
  <si>
    <t>Плановая прибыль</t>
  </si>
  <si>
    <t>Проживание</t>
  </si>
  <si>
    <t>Активности</t>
  </si>
  <si>
    <t>Контроль риска</t>
  </si>
  <si>
    <t>Логистика</t>
  </si>
  <si>
    <t>Точка безубыточности, мест</t>
  </si>
  <si>
    <t>Питание</t>
  </si>
  <si>
    <t>Запас при 10 участницах</t>
  </si>
  <si>
    <t>Подарки</t>
  </si>
  <si>
    <t>Запас при 15 участницах</t>
  </si>
  <si>
    <t>Контент</t>
  </si>
  <si>
    <t>Перелёты</t>
  </si>
  <si>
    <t>NA TALIYA CLUB — Fitness &amp; Wellness Retreat Salou 2026</t>
  </si>
  <si>
    <t>Параметр</t>
  </si>
  <si>
    <t>Цена тура на 1 участницу</t>
  </si>
  <si>
    <t>План участниц</t>
  </si>
  <si>
    <t>Минимум для запуска</t>
  </si>
  <si>
    <t>Текущие подтверждённые участницы</t>
  </si>
  <si>
    <t>Текущие депозиты</t>
  </si>
  <si>
    <t>Размер депозита</t>
  </si>
  <si>
    <t>Организаторы / команда без оплаты</t>
  </si>
  <si>
    <t>Вместимость виллы</t>
  </si>
  <si>
    <t>Дата ретрита</t>
  </si>
  <si>
    <t>17–22.09.2026</t>
  </si>
  <si>
    <t>Дата</t>
  </si>
  <si>
    <t>Участница</t>
  </si>
  <si>
    <t>Тип платежа</t>
  </si>
  <si>
    <t>Сумма (€)</t>
  </si>
  <si>
    <t>Статус</t>
  </si>
  <si>
    <t>Способ оплаты</t>
  </si>
  <si>
    <t>Комментарий</t>
  </si>
  <si>
    <t>Юлия</t>
  </si>
  <si>
    <t>Депозит</t>
  </si>
  <si>
    <t>Оплачен полностью</t>
  </si>
  <si>
    <t>нал</t>
  </si>
  <si>
    <t>Ирина</t>
  </si>
  <si>
    <t>Лариса</t>
  </si>
  <si>
    <t>счет+пейпал</t>
  </si>
  <si>
    <t>Ольга Поздеева</t>
  </si>
  <si>
    <t>Частично</t>
  </si>
  <si>
    <t>Татьяна Бигун</t>
  </si>
  <si>
    <t>счет</t>
  </si>
  <si>
    <t>Ольга Чупруна</t>
  </si>
  <si>
    <t>Катя</t>
  </si>
  <si>
    <t>Alina</t>
  </si>
  <si>
    <t xml:space="preserve">Anna </t>
  </si>
  <si>
    <t>пейпал</t>
  </si>
  <si>
    <t>Настя</t>
  </si>
  <si>
    <t>Участница 11</t>
  </si>
  <si>
    <t>Не оплачен</t>
  </si>
  <si>
    <t>Участница 12</t>
  </si>
  <si>
    <t>Участница 13</t>
  </si>
  <si>
    <t>Участница 14</t>
  </si>
  <si>
    <t>Участница 15</t>
  </si>
  <si>
    <t>Описание</t>
  </si>
  <si>
    <t>Оплачено</t>
  </si>
  <si>
    <t>Вилла 16–22.09.2026</t>
  </si>
  <si>
    <t>Ожидаю</t>
  </si>
  <si>
    <t>Аренда на 1 день раньше для подготовки</t>
  </si>
  <si>
    <t>Индивидуальная экскурсия на устрицы</t>
  </si>
  <si>
    <t>Трансфер</t>
  </si>
  <si>
    <t>заказала</t>
  </si>
  <si>
    <t>Индивидуальная экскурсия Барселона</t>
  </si>
  <si>
    <t>Фиксированная цена на группу</t>
  </si>
  <si>
    <t>Завтраки, вода, кофе, чай, фрукты, снеки</t>
  </si>
  <si>
    <t>Подарочные наборы / мерч</t>
  </si>
  <si>
    <t>Фотосессия</t>
  </si>
  <si>
    <t>Приветственный и прощальный ужин</t>
  </si>
  <si>
    <t>Билеты организатора и сына</t>
  </si>
  <si>
    <t>куплены</t>
  </si>
  <si>
    <t>Катамаран</t>
  </si>
  <si>
    <t>Музыканты</t>
  </si>
  <si>
    <t>Аптечка группы</t>
  </si>
  <si>
    <t>Резерв</t>
  </si>
  <si>
    <t>Аренда авто</t>
  </si>
  <si>
    <t>Бензин / такси / непредвиденная логистика</t>
  </si>
  <si>
    <t>№</t>
  </si>
  <si>
    <t>Имя</t>
  </si>
  <si>
    <t>Телефон</t>
  </si>
  <si>
    <t>Email</t>
  </si>
  <si>
    <t>Депозит (€)</t>
  </si>
  <si>
    <t>Остаток (€)</t>
  </si>
  <si>
    <t>Оплата всего (€)</t>
  </si>
  <si>
    <t>Анкета здоровья</t>
  </si>
  <si>
    <t>Договор</t>
  </si>
  <si>
    <t>Юлия Шапиро</t>
  </si>
  <si>
    <t>Екатерина Сиеринг</t>
  </si>
  <si>
    <t>Готово</t>
  </si>
  <si>
    <t>Spivak Alina</t>
  </si>
  <si>
    <t>Anna мюнхен</t>
  </si>
  <si>
    <t>Настя нов</t>
  </si>
  <si>
    <t>Задача</t>
  </si>
  <si>
    <t>Срок</t>
  </si>
  <si>
    <t>Приоритет</t>
  </si>
  <si>
    <t>Ответственная</t>
  </si>
  <si>
    <t>Получить страховку</t>
  </si>
  <si>
    <t>Срочно</t>
  </si>
  <si>
    <t>Выполнено</t>
  </si>
  <si>
    <t>Наталия</t>
  </si>
  <si>
    <t>Доработать договор</t>
  </si>
  <si>
    <t>В процессе</t>
  </si>
  <si>
    <t>Перед загрузкой на сайт</t>
  </si>
  <si>
    <t>Обновить документы на сайте</t>
  </si>
  <si>
    <t>Высокий</t>
  </si>
  <si>
    <t>Собрать депозиты от 13 участниц</t>
  </si>
  <si>
    <t>Ожидается на выходных</t>
  </si>
  <si>
    <t>Подписать договоры с участницами</t>
  </si>
  <si>
    <t>Не начато</t>
  </si>
  <si>
    <t>Запустить рекламу Instagram</t>
  </si>
  <si>
    <t>После страховки и договора</t>
  </si>
  <si>
    <t>Забронировать виллу</t>
  </si>
  <si>
    <t>Подтвердить трансфер</t>
  </si>
  <si>
    <t>Средний</t>
  </si>
  <si>
    <t>Подтвердить фотографа/видеографа</t>
  </si>
  <si>
    <t>Согласовать урок сальсы</t>
  </si>
  <si>
    <t>Согласовать музыкантов</t>
  </si>
  <si>
    <t>Документ / вопрос</t>
  </si>
  <si>
    <t>Тип</t>
  </si>
  <si>
    <t>Ответственный</t>
  </si>
  <si>
    <t>Ссылка / место хранения</t>
  </si>
  <si>
    <t>Gewerbeanmeldung / Erweiterung Tätigkeit</t>
  </si>
  <si>
    <t>Регистрация</t>
  </si>
  <si>
    <t>Вид деятельности добавлен</t>
  </si>
  <si>
    <t>Organisation und Durchführung von Fitness- und Wellness-Retreats</t>
  </si>
  <si>
    <t>Формулировка внесена</t>
  </si>
  <si>
    <t>Betriebshaftpflicht Erweiterung</t>
  </si>
  <si>
    <t>Страховка</t>
  </si>
  <si>
    <t>Страховой агент</t>
  </si>
  <si>
    <t>Расширение на ретриты / поездки</t>
  </si>
  <si>
    <t>Kundengeldabsicherung / Insolvenzversicherung</t>
  </si>
  <si>
    <t>Для денег клиентов</t>
  </si>
  <si>
    <t>Teilnahmebedingungen / Vertrag</t>
  </si>
  <si>
    <t>Доработать перед сайтом</t>
  </si>
  <si>
    <t>Gesundheitsfragebogen DE</t>
  </si>
  <si>
    <t>Анкета</t>
  </si>
  <si>
    <t>Gesundheitsfragebogen RU</t>
  </si>
  <si>
    <t>Website finalisieren</t>
  </si>
  <si>
    <t>Сайт</t>
  </si>
  <si>
    <t>После договора и страховки</t>
  </si>
  <si>
    <t>Task Status</t>
  </si>
  <si>
    <t>Payment Status</t>
  </si>
  <si>
    <t>Document Status</t>
  </si>
  <si>
    <t>Priority</t>
  </si>
  <si>
    <t>Nicht begonnen</t>
  </si>
  <si>
    <t>Низкий</t>
  </si>
  <si>
    <t>Отправлено</t>
  </si>
  <si>
    <t>Возврат</t>
  </si>
  <si>
    <t>Подписано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</si>
</sst>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-* #,##0_-;\-* #,##0_-;_-* &quot;-&quot;_-;_-@_-"/>
    <numFmt numFmtId="42" formatCode="_-&quot;£&quot;* #,##0_-;\-&quot;£&quot;* #,##0_-;_-&quot;£&quot;* &quot;-&quot;_-;_-@_-"/>
    <numFmt numFmtId="43" formatCode="_-* #,##0.00_-;\-* #,##0.00_-;_-* &quot;-&quot;??_-;_-@_-"/>
    <numFmt numFmtId="44" formatCode="_-&quot;£&quot;* #,##0.00_-;\-&quot;£&quot;* #,##0.00_-;_-&quot;£&quot;* &quot;-&quot;??_-;_-@_-"/>
    <numFmt numFmtId="176" formatCode="&quot;€&quot;#,##0"/>
    <numFmt numFmtId="177" formatCode="dd\.mm\.yyyy"/>
  </numFmts>
  <fonts count="24">
    <font>
      <sz val="11"/>
      <color rgb="FF000000"/>
      <name val="Carlito"/>
      <charset val="134"/>
      <scheme val="minor"/>
    </font>
    <font>
      <b/>
      <sz val="11"/>
      <color rgb="FFFFFFFF"/>
      <name val="Carlito"/>
      <charset val="134"/>
    </font>
    <font>
      <sz val="11"/>
      <color theme="1"/>
      <name val="Carlito"/>
      <charset val="134"/>
    </font>
    <font>
      <b/>
      <sz val="14"/>
      <color rgb="FFFFFFFF"/>
      <name val="Carlito"/>
      <charset val="134"/>
    </font>
    <font>
      <sz val="11"/>
      <color theme="1"/>
      <name val="Carlito"/>
      <charset val="134"/>
      <scheme val="minor"/>
    </font>
    <font>
      <u/>
      <sz val="11"/>
      <color rgb="FF0000FF"/>
      <name val="Carlito"/>
      <charset val="0"/>
      <scheme val="minor"/>
    </font>
    <font>
      <u/>
      <sz val="11"/>
      <color rgb="FF800080"/>
      <name val="Carlito"/>
      <charset val="0"/>
      <scheme val="minor"/>
    </font>
    <font>
      <sz val="11"/>
      <color rgb="FFFF0000"/>
      <name val="Carlito"/>
      <charset val="0"/>
      <scheme val="minor"/>
    </font>
    <font>
      <b/>
      <sz val="18"/>
      <color theme="3"/>
      <name val="Carlito"/>
      <charset val="134"/>
      <scheme val="minor"/>
    </font>
    <font>
      <i/>
      <sz val="11"/>
      <color rgb="FF7F7F7F"/>
      <name val="Carlito"/>
      <charset val="0"/>
      <scheme val="minor"/>
    </font>
    <font>
      <b/>
      <sz val="15"/>
      <color theme="3"/>
      <name val="Carlito"/>
      <charset val="134"/>
      <scheme val="minor"/>
    </font>
    <font>
      <b/>
      <sz val="13"/>
      <color theme="3"/>
      <name val="Carlito"/>
      <charset val="134"/>
      <scheme val="minor"/>
    </font>
    <font>
      <b/>
      <sz val="11"/>
      <color theme="3"/>
      <name val="Carlito"/>
      <charset val="134"/>
      <scheme val="minor"/>
    </font>
    <font>
      <sz val="11"/>
      <color rgb="FF3F3F76"/>
      <name val="Carlito"/>
      <charset val="0"/>
      <scheme val="minor"/>
    </font>
    <font>
      <b/>
      <sz val="11"/>
      <color rgb="FF3F3F3F"/>
      <name val="Carlito"/>
      <charset val="0"/>
      <scheme val="minor"/>
    </font>
    <font>
      <b/>
      <sz val="11"/>
      <color rgb="FFFA7D00"/>
      <name val="Carlito"/>
      <charset val="0"/>
      <scheme val="minor"/>
    </font>
    <font>
      <b/>
      <sz val="11"/>
      <color rgb="FFFFFFFF"/>
      <name val="Carlito"/>
      <charset val="0"/>
      <scheme val="minor"/>
    </font>
    <font>
      <sz val="11"/>
      <color rgb="FFFA7D00"/>
      <name val="Carlito"/>
      <charset val="0"/>
      <scheme val="minor"/>
    </font>
    <font>
      <b/>
      <sz val="11"/>
      <color theme="1"/>
      <name val="Carlito"/>
      <charset val="0"/>
      <scheme val="minor"/>
    </font>
    <font>
      <sz val="11"/>
      <color rgb="FF006100"/>
      <name val="Carlito"/>
      <charset val="0"/>
      <scheme val="minor"/>
    </font>
    <font>
      <sz val="11"/>
      <color rgb="FF9C0006"/>
      <name val="Carlito"/>
      <charset val="0"/>
      <scheme val="minor"/>
    </font>
    <font>
      <sz val="11"/>
      <color rgb="FF9C6500"/>
      <name val="Carlito"/>
      <charset val="0"/>
      <scheme val="minor"/>
    </font>
    <font>
      <sz val="11"/>
      <color theme="0"/>
      <name val="Carlito"/>
      <charset val="0"/>
      <scheme val="minor"/>
    </font>
    <font>
      <sz val="11"/>
      <color theme="1"/>
      <name val="Carlito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1F4E5F"/>
        <bgColor rgb="FF1F4E5F"/>
      </patternFill>
    </fill>
    <fill>
      <patternFill patternType="solid">
        <fgColor rgb="FFFF0000"/>
        <bgColor rgb="FFFF0000"/>
      </patternFill>
    </fill>
    <fill>
      <patternFill patternType="solid">
        <fgColor rgb="FF0E7490"/>
        <bgColor rgb="FF0E749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5" borderId="1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6" borderId="4" applyNumberFormat="0" applyAlignment="0" applyProtection="0">
      <alignment vertical="center"/>
    </xf>
    <xf numFmtId="0" fontId="14" fillId="7" borderId="5" applyNumberFormat="0" applyAlignment="0" applyProtection="0">
      <alignment vertical="center"/>
    </xf>
    <xf numFmtId="0" fontId="15" fillId="7" borderId="4" applyNumberFormat="0" applyAlignment="0" applyProtection="0">
      <alignment vertical="center"/>
    </xf>
    <xf numFmtId="0" fontId="16" fillId="8" borderId="6" applyNumberFormat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</cellStyleXfs>
  <cellXfs count="9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176" fontId="2" fillId="0" borderId="0" xfId="0" applyNumberFormat="1" applyFont="1" applyAlignment="1">
      <alignment wrapText="1"/>
    </xf>
    <xf numFmtId="0" fontId="2" fillId="3" borderId="0" xfId="0" applyFont="1" applyFill="1" applyAlignment="1">
      <alignment wrapText="1"/>
    </xf>
    <xf numFmtId="177" fontId="2" fillId="0" borderId="0" xfId="0" applyNumberFormat="1" applyFont="1" applyAlignment="1">
      <alignment wrapText="1"/>
    </xf>
    <xf numFmtId="0" fontId="3" fillId="4" borderId="0" xfId="0" applyFont="1" applyFill="1" applyAlignment="1">
      <alignment horizontal="center" wrapText="1"/>
    </xf>
    <xf numFmtId="1" fontId="2" fillId="0" borderId="0" xfId="0" applyNumberFormat="1" applyFont="1" applyAlignment="1">
      <alignment wrapText="1"/>
    </xf>
    <xf numFmtId="9" fontId="2" fillId="0" borderId="0" xfId="0" applyNumberFormat="1" applyFont="1" applyAlignment="1">
      <alignment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57">
    <dxf>
      <font>
        <b val="1"/>
        <color rgb="FF991B1B"/>
      </font>
      <fill>
        <patternFill patternType="solid">
          <fgColor rgb="FFFEE2E2"/>
          <bgColor rgb="FFFEE2E2"/>
        </patternFill>
      </fill>
    </dxf>
    <dxf>
      <font>
        <b val="1"/>
        <color rgb="FF166534"/>
      </font>
      <fill>
        <patternFill patternType="solid">
          <fgColor rgb="FFDCFCE7"/>
          <bgColor rgb="FFDCFCE7"/>
        </patternFill>
      </fill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ill>
        <patternFill patternType="solid">
          <fgColor rgb="FFDCFCE7"/>
          <bgColor rgb="FFDCFCE7"/>
        </patternFill>
      </fill>
    </dxf>
    <dxf>
      <fill>
        <patternFill patternType="solid">
          <fgColor rgb="FFFEE2E2"/>
          <bgColor rgb="FFFEE2E2"/>
        </patternFill>
      </fill>
    </dxf>
    <dxf>
      <fill>
        <patternFill patternType="solid">
          <fgColor rgb="FFFEF3C7"/>
          <bgColor rgb="FFFEF3C7"/>
        </patternFill>
      </fill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ont>
        <name val="Carlito"/>
        <scheme val="minor"/>
        <charset val="134"/>
        <family val="0"/>
        <b val="0"/>
        <i val="0"/>
        <strike val="0"/>
        <u val="none"/>
        <sz val="11"/>
        <color rgb="FF000000"/>
      </font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Income-style" pivot="0" count="3" xr9:uid="{A374A8D4-0173-DA26-14A3-4A6ABE709488}">
      <tableStyleElement type="headerRow" dxfId="44"/>
      <tableStyleElement type="firstRowStripe" dxfId="43"/>
      <tableStyleElement type="secondRowStripe" dxfId="42"/>
    </tableStyle>
    <tableStyle name="Expenses-style" pivot="0" count="3" xr9:uid="{F43EAACC-5A50-7A86-14A3-4A6A9F50E6DA}">
      <tableStyleElement type="headerRow" dxfId="47"/>
      <tableStyleElement type="firstRowStripe" dxfId="46"/>
      <tableStyleElement type="secondRowStripe" dxfId="45"/>
    </tableStyle>
    <tableStyle name="Participants-style" pivot="0" count="3" xr9:uid="{0B6922D3-60C0-5BD3-14A3-4A6ADB97531E}">
      <tableStyleElement type="headerRow" dxfId="50"/>
      <tableStyleElement type="firstRowStripe" dxfId="49"/>
      <tableStyleElement type="secondRowStripe" dxfId="48"/>
    </tableStyle>
    <tableStyle name="Tasks-style" pivot="0" count="3" xr9:uid="{CA7E7395-CCC2-301B-14A3-4A6AB6A9F076}">
      <tableStyleElement type="headerRow" dxfId="53"/>
      <tableStyleElement type="firstRowStripe" dxfId="52"/>
      <tableStyleElement type="secondRowStripe" dxfId="51"/>
    </tableStyle>
    <tableStyle name="Legal &amp; Insurance-style" pivot="0" count="3" xr9:uid="{523A2931-3C9B-D635-14A3-4A6AFD8C03BE}">
      <tableStyleElement type="headerRow" dxfId="56"/>
      <tableStyleElement type="firstRowStripe" dxfId="55"/>
      <tableStyleElement type="secondRowStripe" dxfId="5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lvl="0">
              <a:defRPr lang="en-US" sz="1800" b="0" i="0" u="none" strike="noStrike" kern="1200" baseline="0">
                <a:solidFill>
                  <a:srgbClr val="757575"/>
                </a:solidFill>
                <a:latin typeface="+mn-lt"/>
                <a:ea typeface="+mn-ea"/>
                <a:cs typeface="+mn-cs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Прогноз прибыли: 10 / 12 / 15 участниц</a:t>
            </a:r>
            <a:endParaRPr b="0">
              <a:solidFill>
                <a:srgbClr val="757575"/>
              </a:solidFill>
              <a:latin typeface="+mn-lt"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none"/>
        <c:varyColors val="0"/>
        <c:ser>
          <c:idx val="0"/>
          <c:order val="0"/>
          <c:tx>
            <c:strRef>
              <c:f>"Участниц"</c:f>
              <c:strCache>
                <c:ptCount val="1"/>
                <c:pt idx="0">
                  <c:v>Участниц</c:v>
                </c:pt>
              </c:strCache>
            </c:strRef>
          </c:tx>
          <c:spPr>
            <a:solidFill>
              <a:schemeClr val="accent1"/>
            </a:solidFill>
            <a:ln cmpd="sng">
              <a:noFill/>
            </a:ln>
          </c:spPr>
          <c:invertIfNegative val="0"/>
          <c:dLbls>
            <c:delete val="1"/>
          </c:dLbls>
          <c:cat>
            <c:strRef>
              <c:f>Dashboard!$D$4:$D$6</c:f>
              <c:strCache>
                <c:ptCount val="3"/>
                <c:pt idx="0">
                  <c:v>Минимум</c:v>
                </c:pt>
                <c:pt idx="1">
                  <c:v>Хороший</c:v>
                </c:pt>
                <c:pt idx="2">
                  <c:v>Отличный</c:v>
                </c:pt>
              </c:strCache>
            </c:strRef>
          </c:cat>
          <c:val>
            <c:numRef>
              <c:f>Dashboard!$E$4:$E$6</c:f>
              <c:numCache>
                <c:formatCode>0</c:formatCode>
                <c:ptCount val="3"/>
                <c:pt idx="0">
                  <c:v>10</c:v>
                </c:pt>
                <c:pt idx="1">
                  <c:v>12</c:v>
                </c:pt>
                <c:pt idx="2">
                  <c:v>15</c:v>
                </c:pt>
              </c:numCache>
            </c:numRef>
          </c:val>
        </c:ser>
        <c:ser>
          <c:idx val="1"/>
          <c:order val="1"/>
          <c:tx>
            <c:strRef>
              <c:f>"Доход"</c:f>
              <c:strCache>
                <c:ptCount val="1"/>
                <c:pt idx="0">
                  <c:v>Доход</c:v>
                </c:pt>
              </c:strCache>
            </c:strRef>
          </c:tx>
          <c:spPr>
            <a:solidFill>
              <a:schemeClr val="accent2"/>
            </a:solidFill>
            <a:ln cmpd="sng">
              <a:noFill/>
            </a:ln>
          </c:spPr>
          <c:invertIfNegative val="0"/>
          <c:dLbls>
            <c:delete val="1"/>
          </c:dLbls>
          <c:cat>
            <c:strRef>
              <c:f>Dashboard!$D$4:$D$6</c:f>
              <c:strCache>
                <c:ptCount val="3"/>
                <c:pt idx="0">
                  <c:v>Минимум</c:v>
                </c:pt>
                <c:pt idx="1">
                  <c:v>Хороший</c:v>
                </c:pt>
                <c:pt idx="2">
                  <c:v>Отличный</c:v>
                </c:pt>
              </c:strCache>
            </c:strRef>
          </c:cat>
          <c:val>
            <c:numRef>
              <c:f>Dashboard!$F$4:$F$6</c:f>
              <c:numCache>
                <c:formatCode>"€"#,##0</c:formatCode>
                <c:ptCount val="3"/>
                <c:pt idx="0">
                  <c:v>11900</c:v>
                </c:pt>
                <c:pt idx="1">
                  <c:v>14280</c:v>
                </c:pt>
                <c:pt idx="2">
                  <c:v>17850</c:v>
                </c:pt>
              </c:numCache>
            </c:numRef>
          </c:val>
        </c:ser>
        <c:ser>
          <c:idx val="2"/>
          <c:order val="2"/>
          <c:tx>
            <c:strRef>
              <c:f>"Расходы"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chemeClr val="accent3"/>
            </a:solidFill>
            <a:ln cmpd="sng">
              <a:noFill/>
            </a:ln>
          </c:spPr>
          <c:invertIfNegative val="0"/>
          <c:dLbls>
            <c:delete val="1"/>
          </c:dLbls>
          <c:cat>
            <c:strRef>
              <c:f>Dashboard!$D$4:$D$6</c:f>
              <c:strCache>
                <c:ptCount val="3"/>
                <c:pt idx="0">
                  <c:v>Минимум</c:v>
                </c:pt>
                <c:pt idx="1">
                  <c:v>Хороший</c:v>
                </c:pt>
                <c:pt idx="2">
                  <c:v>Отличный</c:v>
                </c:pt>
              </c:strCache>
            </c:strRef>
          </c:cat>
          <c:val>
            <c:numRef>
              <c:f>Dashboard!$G$4:$G$6</c:f>
              <c:numCache>
                <c:formatCode>"€"#,##0</c:formatCode>
                <c:ptCount val="3"/>
                <c:pt idx="0">
                  <c:v>13722</c:v>
                </c:pt>
                <c:pt idx="1">
                  <c:v>13842</c:v>
                </c:pt>
                <c:pt idx="2">
                  <c:v>14022</c:v>
                </c:pt>
              </c:numCache>
            </c:numRef>
          </c:val>
        </c:ser>
        <c:ser>
          <c:idx val="3"/>
          <c:order val="3"/>
          <c:tx>
            <c:strRef>
              <c:f>"Прибыль"</c:f>
              <c:strCache>
                <c:ptCount val="1"/>
                <c:pt idx="0">
                  <c:v>Прибыль</c:v>
                </c:pt>
              </c:strCache>
            </c:strRef>
          </c:tx>
          <c:spPr>
            <a:solidFill>
              <a:schemeClr val="accent4"/>
            </a:solidFill>
            <a:ln cmpd="sng">
              <a:noFill/>
            </a:ln>
          </c:spPr>
          <c:invertIfNegative val="0"/>
          <c:dLbls>
            <c:delete val="1"/>
          </c:dLbls>
          <c:cat>
            <c:strRef>
              <c:f>Dashboard!$D$4:$D$6</c:f>
              <c:strCache>
                <c:ptCount val="3"/>
                <c:pt idx="0">
                  <c:v>Минимум</c:v>
                </c:pt>
                <c:pt idx="1">
                  <c:v>Хороший</c:v>
                </c:pt>
                <c:pt idx="2">
                  <c:v>Отличный</c:v>
                </c:pt>
              </c:strCache>
            </c:strRef>
          </c:cat>
          <c:val>
            <c:numRef>
              <c:f>Dashboard!$H$4:$H$6</c:f>
              <c:numCache>
                <c:formatCode>"€"#,##0</c:formatCode>
                <c:ptCount val="3"/>
                <c:pt idx="0">
                  <c:v>-1822</c:v>
                </c:pt>
                <c:pt idx="1">
                  <c:v>438</c:v>
                </c:pt>
                <c:pt idx="2">
                  <c:v>3828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0806861"/>
        <c:axId val="1738514201"/>
      </c:barChart>
      <c:catAx>
        <c:axId val="1610806861"/>
        <c:scaling>
          <c:orientation val="minMax"/>
        </c:scaling>
        <c:delete val="0"/>
        <c:axPos val="b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0"/>
        <c:majorTickMark val="none"/>
        <c:minorTickMark val="none"/>
        <c:tickLblPos val="nextTo"/>
        <c:spPr>
          <a:ln w="6350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</a:p>
        </c:txPr>
        <c:crossAx val="1738514201"/>
        <c:crosses val="autoZero"/>
        <c:auto val="1"/>
        <c:lblAlgn val="ctr"/>
        <c:lblOffset val="100"/>
        <c:noMultiLvlLbl val="0"/>
      </c:catAx>
      <c:valAx>
        <c:axId val="173851420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B7B7B7"/>
              </a:solidFill>
              <a:prstDash val="solid"/>
              <a:round/>
            </a:ln>
          </c:spPr>
        </c:majorGridlines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0"/>
        <c:majorTickMark val="none"/>
        <c:minorTickMark val="none"/>
        <c:tickLblPos val="nextTo"/>
        <c:spPr>
          <a:ln w="6350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</a:p>
        </c:txPr>
        <c:crossAx val="1610806861"/>
        <c:crosses val="autoZero"/>
        <c:crossBetween val="between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rgbClr val="1A1A1A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95692546-3721-40db-9829-0219d731ed70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lvl="0">
              <a:defRPr lang="en-US" sz="1800" b="0" i="0" u="none" strike="noStrike" kern="1200" baseline="0">
                <a:solidFill>
                  <a:srgbClr val="757575"/>
                </a:solidFill>
                <a:latin typeface="+mn-lt"/>
                <a:ea typeface="+mn-ea"/>
                <a:cs typeface="+mn-cs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Структура расходов по категориям</a:t>
            </a:r>
            <a:endParaRPr b="0">
              <a:solidFill>
                <a:srgbClr val="757575"/>
              </a:solidFill>
              <a:latin typeface="+mn-lt"/>
            </a:endParaRP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explosion val="0"/>
          <c:dPt>
            <c:idx val="0"/>
            <c:bubble3D val="0"/>
            <c:spPr>
              <a:solidFill>
                <a:srgbClr val="156082"/>
              </a:solidFill>
            </c:spPr>
          </c:dPt>
          <c:dPt>
            <c:idx val="1"/>
            <c:bubble3D val="0"/>
            <c:spPr>
              <a:solidFill>
                <a:srgbClr val="E97132"/>
              </a:solidFill>
            </c:spPr>
          </c:dPt>
          <c:dPt>
            <c:idx val="2"/>
            <c:bubble3D val="0"/>
            <c:spPr>
              <a:solidFill>
                <a:srgbClr val="196B24"/>
              </a:solidFill>
            </c:spPr>
          </c:dPt>
          <c:dPt>
            <c:idx val="3"/>
            <c:bubble3D val="0"/>
            <c:spPr>
              <a:solidFill>
                <a:srgbClr val="0F9ED5"/>
              </a:solidFill>
            </c:spPr>
          </c:dPt>
          <c:dPt>
            <c:idx val="4"/>
            <c:bubble3D val="0"/>
            <c:spPr>
              <a:solidFill>
                <a:srgbClr val="A02B93"/>
              </a:solidFill>
            </c:spPr>
          </c:dPt>
          <c:dPt>
            <c:idx val="5"/>
            <c:bubble3D val="0"/>
            <c:spPr>
              <a:solidFill>
                <a:srgbClr val="4EA72E"/>
              </a:solidFill>
            </c:spPr>
          </c:dPt>
          <c:dPt>
            <c:idx val="6"/>
            <c:bubble3D val="0"/>
            <c:spPr>
              <a:solidFill>
                <a:srgbClr val="5B90A8"/>
              </a:solidFill>
            </c:spPr>
          </c:dPt>
          <c:dLbls>
            <c:delete val="1"/>
          </c:dLbls>
          <c:cat>
            <c:strRef>
              <c:f>Dashboard!$D$10:$D$16</c:f>
              <c:strCache>
                <c:ptCount val="7"/>
                <c:pt idx="0">
                  <c:v>Проживание</c:v>
                </c:pt>
                <c:pt idx="1">
                  <c:v>Активности</c:v>
                </c:pt>
                <c:pt idx="2">
                  <c:v>Логистика</c:v>
                </c:pt>
                <c:pt idx="3">
                  <c:v>Питание</c:v>
                </c:pt>
                <c:pt idx="4">
                  <c:v>Подарки</c:v>
                </c:pt>
                <c:pt idx="5">
                  <c:v>Контент</c:v>
                </c:pt>
                <c:pt idx="6">
                  <c:v>Перелёты</c:v>
                </c:pt>
              </c:strCache>
            </c:strRef>
          </c:cat>
          <c:val>
            <c:numRef>
              <c:f>Dashboard!$E$10:$E$16</c:f>
              <c:numCache>
                <c:formatCode>"€"#,##0</c:formatCode>
                <c:ptCount val="7"/>
                <c:pt idx="0">
                  <c:v>5232</c:v>
                </c:pt>
                <c:pt idx="1">
                  <c:v>3820</c:v>
                </c:pt>
                <c:pt idx="2">
                  <c:v>750</c:v>
                </c:pt>
                <c:pt idx="3">
                  <c:v>2000</c:v>
                </c:pt>
                <c:pt idx="4">
                  <c:v>320</c:v>
                </c:pt>
                <c:pt idx="5">
                  <c:v>500</c:v>
                </c:pt>
                <c:pt idx="6">
                  <c:v>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rgbClr val="1A1A1A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f89ad99-ee82-4eea-8f9c-733f799d8c6e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0</xdr:colOff>
      <xdr:row>17</xdr:row>
      <xdr:rowOff>0</xdr:rowOff>
    </xdr:from>
    <xdr:ext cx="11734800" cy="3469005"/>
    <xdr:graphicFrame>
      <xdr:nvGraphicFramePr>
        <xdr:cNvPr id="1450645519" name="Chart 1"/>
        <xdr:cNvGraphicFramePr/>
      </xdr:nvGraphicFramePr>
      <xdr:xfrm>
        <a:off x="0" y="3708400"/>
        <a:ext cx="11734800" cy="34690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0</xdr:colOff>
      <xdr:row>2</xdr:row>
      <xdr:rowOff>0</xdr:rowOff>
    </xdr:from>
    <xdr:ext cx="5257800" cy="3601720"/>
    <xdr:graphicFrame>
      <xdr:nvGraphicFramePr>
        <xdr:cNvPr id="1339602421" name="Chart 2"/>
        <xdr:cNvGraphicFramePr/>
      </xdr:nvGraphicFramePr>
      <xdr:xfrm>
        <a:off x="10170160" y="472440"/>
        <a:ext cx="5257800" cy="3601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A1:G16">
  <tableColumns count="7">
    <tableColumn id="1" name="Дата" dataDxfId="2"/>
    <tableColumn id="2" name="Участница" dataDxfId="3"/>
    <tableColumn id="3" name="Тип платежа" dataDxfId="4"/>
    <tableColumn id="4" name="Сумма (€)" dataDxfId="5"/>
    <tableColumn id="5" name="Статус" dataDxfId="6"/>
    <tableColumn id="6" name="Способ оплаты" dataDxfId="7"/>
    <tableColumn id="7" name="Комментарий" dataDxfId="8"/>
  </tableColumns>
  <tableStyleInfo name="Income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A1:G14">
  <tableColumns count="7">
    <tableColumn id="1" name="Дата" dataDxfId="12"/>
    <tableColumn id="2" name="Категория" dataDxfId="13"/>
    <tableColumn id="3" name="Описание" dataDxfId="14"/>
    <tableColumn id="4" name="Сумма (€)" dataDxfId="15"/>
    <tableColumn id="5" name="Оплачено" dataDxfId="16"/>
    <tableColumn id="6" name="Статус" dataDxfId="17"/>
    <tableColumn id="7" name="Комментарий" dataDxfId="18"/>
  </tableColumns>
  <tableStyleInfo name="Expenses-style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A1:J16">
  <tableColumns count="10">
    <tableColumn id="1" name="№" dataDxfId="19"/>
    <tableColumn id="2" name="Имя" dataDxfId="20"/>
    <tableColumn id="3" name="Телефон" dataDxfId="21"/>
    <tableColumn id="4" name="Email" dataDxfId="22"/>
    <tableColumn id="5" name="Депозит (€)" dataDxfId="23"/>
    <tableColumn id="6" name="Остаток (€)" dataDxfId="24"/>
    <tableColumn id="7" name="Оплата всего (€)" dataDxfId="25"/>
    <tableColumn id="8" name="Анкета здоровья" dataDxfId="26"/>
    <tableColumn id="9" name="Договор" dataDxfId="27"/>
    <tableColumn id="10" name="Статус" dataDxfId="28"/>
  </tableColumns>
  <tableStyleInfo name="Participants-style" showFirstColumn="1" showLastColumn="1" showRowStripes="1" showColumnStripes="0"/>
</table>
</file>

<file path=xl/tables/table4.xml><?xml version="1.0" encoding="utf-8"?>
<table xmlns="http://schemas.openxmlformats.org/spreadsheetml/2006/main" id="4" name="Table_4" displayName="Table_4" ref="A1:F12">
  <tableColumns count="6">
    <tableColumn id="1" name="Задача" dataDxfId="29"/>
    <tableColumn id="2" name="Срок" dataDxfId="30"/>
    <tableColumn id="3" name="Приоритет" dataDxfId="31"/>
    <tableColumn id="4" name="Статус" dataDxfId="32"/>
    <tableColumn id="5" name="Ответственная" dataDxfId="33"/>
    <tableColumn id="6" name="Комментарий" dataDxfId="34"/>
  </tableColumns>
  <tableStyleInfo name="Tasks-style" showFirstColumn="1" showLastColumn="1" showRowStripes="1" showColumnStripes="0"/>
</table>
</file>

<file path=xl/tables/table5.xml><?xml version="1.0" encoding="utf-8"?>
<table xmlns="http://schemas.openxmlformats.org/spreadsheetml/2006/main" id="5" name="Table_5" displayName="Table_5" ref="A1:G9">
  <tableColumns count="7">
    <tableColumn id="1" name="Документ / вопрос" dataDxfId="35"/>
    <tableColumn id="2" name="Тип" dataDxfId="36"/>
    <tableColumn id="3" name="Статус" dataDxfId="37"/>
    <tableColumn id="4" name="Ответственный" dataDxfId="38"/>
    <tableColumn id="5" name="Дата" dataDxfId="39"/>
    <tableColumn id="6" name="Ссылка / место хранения" dataDxfId="40"/>
    <tableColumn id="7" name="Комментарий" dataDxfId="41"/>
  </tableColumns>
  <tableStyleInfo name="Legal &amp; Insurance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:H1"/>
    </sheetView>
  </sheetViews>
  <sheetFormatPr defaultColWidth="12.6346153846154" defaultRowHeight="15" customHeight="1"/>
  <cols>
    <col min="1" max="1" width="28" customWidth="1"/>
    <col min="2" max="8" width="18" customWidth="1"/>
    <col min="9" max="26" width="8.63461538461539" customWidth="1"/>
  </cols>
  <sheetData>
    <row r="1" ht="20.4" spans="1:26">
      <c r="A1" s="6" t="s">
        <v>0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6.8" spans="1:26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7" spans="1:26">
      <c r="A3" s="1" t="s">
        <v>1</v>
      </c>
      <c r="B3" s="1" t="s">
        <v>2</v>
      </c>
      <c r="C3" s="2"/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7" spans="1:26">
      <c r="A4" s="2" t="s">
        <v>8</v>
      </c>
      <c r="B4" s="3">
        <f>Inputs!B4</f>
        <v>1190</v>
      </c>
      <c r="C4" s="2"/>
      <c r="D4" s="2" t="s">
        <v>9</v>
      </c>
      <c r="E4" s="7">
        <v>10</v>
      </c>
      <c r="F4" s="3">
        <f>E4*Inputs!$B$4</f>
        <v>11900</v>
      </c>
      <c r="G4" s="3">
        <f>Dashboard!$B$8</f>
        <v>13722</v>
      </c>
      <c r="H4" s="3">
        <f t="shared" ref="H4:H6" si="0">F4-G4</f>
        <v>-1822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7" spans="1:26">
      <c r="A5" s="2" t="s">
        <v>10</v>
      </c>
      <c r="B5" s="7">
        <v>15</v>
      </c>
      <c r="C5" s="2"/>
      <c r="D5" s="2" t="s">
        <v>11</v>
      </c>
      <c r="E5" s="7">
        <v>12</v>
      </c>
      <c r="F5" s="3">
        <f>E5*Inputs!$B$4</f>
        <v>14280</v>
      </c>
      <c r="G5" s="3">
        <f>Dashboard!$B$8+(E5-10)*60</f>
        <v>13842</v>
      </c>
      <c r="H5" s="3">
        <f t="shared" si="0"/>
        <v>438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7" spans="1:26">
      <c r="A6" s="2" t="s">
        <v>12</v>
      </c>
      <c r="B6" s="7">
        <v>10</v>
      </c>
      <c r="C6" s="2"/>
      <c r="D6" s="2" t="s">
        <v>13</v>
      </c>
      <c r="E6" s="7">
        <v>15</v>
      </c>
      <c r="F6" s="3">
        <f>E6*Inputs!$B$4</f>
        <v>17850</v>
      </c>
      <c r="G6" s="3">
        <f>Dashboard!$B$8+(E6-10)*60</f>
        <v>14022</v>
      </c>
      <c r="H6" s="3">
        <f t="shared" si="0"/>
        <v>3828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7" spans="1:26">
      <c r="A7" s="2" t="s">
        <v>14</v>
      </c>
      <c r="B7" s="3">
        <v>5180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7" spans="1:26">
      <c r="A8" s="2" t="s">
        <v>15</v>
      </c>
      <c r="B8" s="3">
        <f>SUM(Expenses!D:D)</f>
        <v>13722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7" spans="1:26">
      <c r="A9" s="2" t="s">
        <v>16</v>
      </c>
      <c r="B9" s="3">
        <f>Inputs!B4*Inputs!B5</f>
        <v>17850</v>
      </c>
      <c r="C9" s="2"/>
      <c r="D9" s="1" t="s">
        <v>17</v>
      </c>
      <c r="E9" s="1" t="s">
        <v>18</v>
      </c>
      <c r="F9" s="1" t="s">
        <v>19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7" spans="1:26">
      <c r="A10" s="2" t="s">
        <v>20</v>
      </c>
      <c r="B10" s="3">
        <f>B9-B8</f>
        <v>4128</v>
      </c>
      <c r="C10" s="2"/>
      <c r="D10" s="2" t="s">
        <v>21</v>
      </c>
      <c r="E10" s="3">
        <f>SUMIF(Expenses!B:B,D10,Expenses!D:D)</f>
        <v>5232</v>
      </c>
      <c r="F10" s="8">
        <f t="shared" ref="F10:F16" si="1">E10/$B$8</f>
        <v>0.381285526891124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7" spans="1:26">
      <c r="A11" s="2"/>
      <c r="B11" s="2"/>
      <c r="C11" s="2"/>
      <c r="D11" s="2" t="s">
        <v>22</v>
      </c>
      <c r="E11" s="3">
        <f>SUMIF(Expenses!B:B,D11,Expenses!D:D)</f>
        <v>3820</v>
      </c>
      <c r="F11" s="8">
        <f t="shared" si="1"/>
        <v>0.278385075061944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7" spans="1:26">
      <c r="A12" s="1" t="s">
        <v>23</v>
      </c>
      <c r="B12" s="1" t="s">
        <v>2</v>
      </c>
      <c r="C12" s="2"/>
      <c r="D12" s="2" t="s">
        <v>24</v>
      </c>
      <c r="E12" s="3">
        <f>SUMIF(Expenses!B:B,D12,Expenses!D:D)</f>
        <v>750</v>
      </c>
      <c r="F12" s="8">
        <f t="shared" si="1"/>
        <v>0.0546567555749891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7" spans="1:26">
      <c r="A13" s="2" t="s">
        <v>25</v>
      </c>
      <c r="B13" s="7">
        <f>ROUNDUP(B8/Inputs!B4,0)</f>
        <v>12</v>
      </c>
      <c r="C13" s="2"/>
      <c r="D13" s="2" t="s">
        <v>26</v>
      </c>
      <c r="E13" s="3">
        <f>SUMIF(Expenses!B:B,D13,Expenses!D:D)</f>
        <v>2000</v>
      </c>
      <c r="F13" s="8">
        <f t="shared" si="1"/>
        <v>0.145751348199971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7" spans="1:26">
      <c r="A14" s="2" t="s">
        <v>27</v>
      </c>
      <c r="B14" s="3">
        <f>10*Inputs!B4-B8</f>
        <v>-1822</v>
      </c>
      <c r="C14" s="2"/>
      <c r="D14" s="2" t="s">
        <v>28</v>
      </c>
      <c r="E14" s="3">
        <f>SUMIF(Expenses!B:B,D14,Expenses!D:D)</f>
        <v>320</v>
      </c>
      <c r="F14" s="8">
        <f t="shared" si="1"/>
        <v>0.0233202157119953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7" spans="1:26">
      <c r="A15" s="2" t="s">
        <v>29</v>
      </c>
      <c r="B15" s="3">
        <f>15*Inputs!B4-B8</f>
        <v>4128</v>
      </c>
      <c r="C15" s="2"/>
      <c r="D15" s="2" t="s">
        <v>30</v>
      </c>
      <c r="E15" s="3">
        <f>SUMIF(Expenses!B:B,D15,Expenses!D:D)</f>
        <v>500</v>
      </c>
      <c r="F15" s="8">
        <f t="shared" si="1"/>
        <v>0.0364378370499927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7" spans="1:26">
      <c r="A16" s="2"/>
      <c r="B16" s="2"/>
      <c r="C16" s="2"/>
      <c r="D16" s="2" t="s">
        <v>31</v>
      </c>
      <c r="E16" s="3">
        <f>SUMIF(Expenses!B:B,D16,Expenses!D:D)</f>
        <v>500</v>
      </c>
      <c r="F16" s="8">
        <f t="shared" si="1"/>
        <v>0.0364378370499927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8" spans="1:2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8" spans="1:2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8" spans="1:2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8" spans="1:2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 spans="1:2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 spans="1:2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 spans="1:2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 spans="1:2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 spans="1:2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 spans="1:2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 spans="1:2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 spans="1:2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 spans="1:2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 spans="1:2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 spans="1:2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 spans="1:2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 spans="1:2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 spans="1:2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 spans="1:2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 spans="1:2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 spans="1:2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 spans="1:26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 spans="1:26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 spans="1:26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 spans="1:26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 spans="1:2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 spans="1:26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 spans="1:2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 spans="1:26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 spans="1:2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 spans="1:2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 spans="1:26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 spans="1:26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 spans="1:26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 spans="1:2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 spans="1:2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 spans="1:26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 spans="1:2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 spans="1:26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 spans="1:2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 spans="1:26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 spans="1:26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 spans="1:26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 spans="1:26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 spans="1:26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 spans="1:2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 spans="1:26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 spans="1:2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 spans="1:2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 spans="1:26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 spans="1:26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 spans="1:26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 spans="1:26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 spans="1:26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 spans="1:2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 spans="1:2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 spans="1:2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 spans="1:2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 spans="1:2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 spans="1:26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 spans="1:2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 spans="1:2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 spans="1:2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 spans="1:2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 spans="1:2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 spans="1:2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 spans="1:2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 spans="1:2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 spans="1:2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 spans="1:2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 spans="1:2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 spans="1:2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 spans="1:2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 spans="1:2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 spans="1:2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 spans="1:2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 spans="1:2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 spans="1:2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 spans="1:2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 spans="1:2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 spans="1:2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 spans="1:2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 spans="1:2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 spans="1:26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 spans="1:26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 spans="1:2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 spans="1:26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 spans="1:26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 spans="1:26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 spans="1:2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 spans="1:26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 spans="1:26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 spans="1:26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 spans="1:26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 spans="1:26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 spans="1:2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 spans="1:26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 spans="1:26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 spans="1:26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 spans="1:26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 spans="1:2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 spans="1:26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 spans="1:26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 spans="1:26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 spans="1:26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 spans="1:2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 spans="1:26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 spans="1:26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 spans="1:2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 spans="1:26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 spans="1:26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 spans="1:26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 spans="1:26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 spans="1:26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 spans="1:26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 spans="1:2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 spans="1:26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 spans="1:26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 spans="1:2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 spans="1:26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 spans="1:2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 spans="1:26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 spans="1:26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 spans="1:26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 spans="1:26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 spans="1:2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 spans="1:26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 spans="1:26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 spans="1:26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 spans="1:26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 spans="1:2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 spans="1:26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 spans="1:2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 spans="1:2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 spans="1:26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 spans="1:2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 spans="1:26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 spans="1:26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 spans="1:26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 spans="1:26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 spans="1:2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 spans="1:26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 spans="1:26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 spans="1:26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 spans="1:26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 spans="1:2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 spans="1:26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 spans="1:26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 spans="1:26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 spans="1:2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B10">
    <cfRule type="expression" dxfId="0" priority="1">
      <formula>B10&lt;0</formula>
    </cfRule>
    <cfRule type="expression" dxfId="1" priority="2">
      <formula>B10&gt;=0</formula>
    </cfRule>
  </conditionalFormatting>
  <conditionalFormatting sqref="H4:H6">
    <cfRule type="expression" dxfId="0" priority="3">
      <formula>H4&lt;0</formula>
    </cfRule>
    <cfRule type="expression" dxfId="1" priority="4">
      <formula>H4&gt;=0</formula>
    </cfRule>
  </conditionalFormatting>
  <pageMargins left="0.7" right="0.7" top="0.75" bottom="0.75" header="0" footer="0"/>
  <pageSetup paperSize="1" orientation="landscape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tabSelected="1" workbookViewId="0">
      <selection activeCell="A1" sqref="A1:F1"/>
    </sheetView>
  </sheetViews>
  <sheetFormatPr defaultColWidth="12.6346153846154" defaultRowHeight="15" customHeight="1"/>
  <cols>
    <col min="1" max="1" width="34" customWidth="1"/>
    <col min="2" max="2" width="20" customWidth="1"/>
    <col min="3" max="26" width="8.63461538461539" customWidth="1"/>
  </cols>
  <sheetData>
    <row r="1" ht="20.4" spans="1:26">
      <c r="A1" s="6" t="s">
        <v>32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6.8" spans="1:26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7" spans="1:26">
      <c r="A3" s="1" t="s">
        <v>33</v>
      </c>
      <c r="B3" s="1" t="s">
        <v>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7" spans="1:26">
      <c r="A4" s="2" t="s">
        <v>34</v>
      </c>
      <c r="B4" s="3">
        <v>1190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7" spans="1:26">
      <c r="A5" s="2" t="s">
        <v>35</v>
      </c>
      <c r="B5" s="3">
        <v>15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7" spans="1:26">
      <c r="A6" s="2" t="s">
        <v>36</v>
      </c>
      <c r="B6" s="3">
        <v>10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34" spans="1:26">
      <c r="A7" s="2" t="s">
        <v>37</v>
      </c>
      <c r="B7" s="3">
        <v>10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7" spans="1:26">
      <c r="A8" s="2" t="s">
        <v>38</v>
      </c>
      <c r="B8" s="3">
        <v>10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7" spans="1:26">
      <c r="A9" s="2" t="s">
        <v>39</v>
      </c>
      <c r="B9" s="3">
        <v>300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34" spans="1:26">
      <c r="A10" s="2" t="s">
        <v>40</v>
      </c>
      <c r="B10" s="2">
        <v>2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7" spans="1:26">
      <c r="A11" s="2" t="s">
        <v>41</v>
      </c>
      <c r="B11" s="2">
        <v>17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7" spans="1:26">
      <c r="A12" s="2" t="s">
        <v>42</v>
      </c>
      <c r="B12" s="2" t="s">
        <v>43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6.8" spans="1:26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6.8" spans="1:26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6.8" spans="1:26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6.8" spans="1:2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8" spans="1:2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8" spans="1:2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8" spans="1:2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8" spans="1:2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 spans="1:2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 spans="1:2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 spans="1:2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 spans="1:2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 spans="1:2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 spans="1:2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 spans="1:2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 spans="1:2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 spans="1:2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 spans="1:2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 spans="1:2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 spans="1:2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 spans="1:2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 spans="1:2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 spans="1:2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 spans="1:2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 spans="1:2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 spans="1:26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 spans="1:26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 spans="1:26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 spans="1:26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 spans="1:2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 spans="1:26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 spans="1:2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 spans="1:26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 spans="1:2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 spans="1:2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 spans="1:26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 spans="1:26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 spans="1:26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 spans="1:2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 spans="1:2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 spans="1:26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 spans="1:2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 spans="1:26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 spans="1:2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 spans="1:26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 spans="1:26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 spans="1:26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 spans="1:26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 spans="1:26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 spans="1:2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 spans="1:26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 spans="1:2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 spans="1:2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 spans="1:26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 spans="1:26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 spans="1:26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 spans="1:26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 spans="1:26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 spans="1:2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 spans="1:2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 spans="1:2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 spans="1:2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 spans="1:2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 spans="1:26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 spans="1:2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 spans="1:2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 spans="1:2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 spans="1:2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 spans="1:2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 spans="1:2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 spans="1:2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 spans="1:2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 spans="1:2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 spans="1:2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 spans="1:2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 spans="1:2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 spans="1:2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 spans="1:2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 spans="1:2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 spans="1:2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 spans="1:2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 spans="1:2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 spans="1:2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 spans="1:2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 spans="1:2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 spans="1:2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 spans="1:2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 spans="1:26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 spans="1:26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 spans="1:2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 spans="1:26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 spans="1:26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 spans="1:26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 spans="1:2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 spans="1:26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 spans="1:26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 spans="1:26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 spans="1:26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 spans="1:26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 spans="1:2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 spans="1:26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 spans="1:26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 spans="1:26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 spans="1:26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 spans="1:2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 spans="1:26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 spans="1:26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 spans="1:26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 spans="1:26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 spans="1:2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 spans="1:26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 spans="1:26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 spans="1:2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 spans="1:26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 spans="1:26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 spans="1:26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 spans="1:26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 spans="1:26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 spans="1:26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 spans="1:2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 spans="1:26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 spans="1:26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 spans="1:2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 spans="1:26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 spans="1:2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 spans="1:26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 spans="1:26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 spans="1:26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 spans="1:26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 spans="1:2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 spans="1:26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 spans="1:26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 spans="1:26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 spans="1:26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 spans="1:2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 spans="1:26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 spans="1:2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 spans="1:2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 spans="1:26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 spans="1:2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 spans="1:26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 spans="1:26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 spans="1:26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 spans="1:26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 spans="1:2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 spans="1:26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 spans="1:26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 spans="1:26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 spans="1:26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 spans="1:2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 spans="1:26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 spans="1:26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 spans="1:26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 spans="1:2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paperSize="1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2.6346153846154" defaultRowHeight="15" customHeight="1"/>
  <cols>
    <col min="1" max="1" width="12" customWidth="1"/>
    <col min="2" max="2" width="20" customWidth="1"/>
    <col min="3" max="3" width="18" customWidth="1"/>
    <col min="4" max="6" width="8.63461538461539" customWidth="1"/>
    <col min="7" max="7" width="32" customWidth="1"/>
    <col min="8" max="26" width="8.63461538461539" customWidth="1"/>
  </cols>
  <sheetData>
    <row r="1" ht="34" spans="1:26">
      <c r="A1" s="1" t="s">
        <v>44</v>
      </c>
      <c r="B1" s="1" t="s">
        <v>45</v>
      </c>
      <c r="C1" s="1" t="s">
        <v>46</v>
      </c>
      <c r="D1" s="1" t="s">
        <v>47</v>
      </c>
      <c r="E1" s="1" t="s">
        <v>48</v>
      </c>
      <c r="F1" s="1" t="s">
        <v>49</v>
      </c>
      <c r="G1" s="1" t="s">
        <v>50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68" spans="1:26">
      <c r="A2" s="5">
        <v>46181</v>
      </c>
      <c r="B2" s="2" t="s">
        <v>51</v>
      </c>
      <c r="C2" s="2" t="s">
        <v>52</v>
      </c>
      <c r="D2" s="3">
        <v>1190</v>
      </c>
      <c r="E2" s="2" t="s">
        <v>53</v>
      </c>
      <c r="F2" s="2" t="s">
        <v>54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68" spans="1:26">
      <c r="A3" s="5">
        <v>46181</v>
      </c>
      <c r="B3" s="2" t="s">
        <v>55</v>
      </c>
      <c r="C3" s="2" t="s">
        <v>52</v>
      </c>
      <c r="D3" s="3">
        <v>1190</v>
      </c>
      <c r="E3" s="2" t="s">
        <v>53</v>
      </c>
      <c r="F3" s="2" t="s">
        <v>54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68" spans="1:26">
      <c r="A4" s="5">
        <v>46182</v>
      </c>
      <c r="B4" s="2" t="s">
        <v>56</v>
      </c>
      <c r="C4" s="2" t="s">
        <v>52</v>
      </c>
      <c r="D4" s="3">
        <v>1190</v>
      </c>
      <c r="E4" s="2" t="s">
        <v>53</v>
      </c>
      <c r="F4" s="2" t="s">
        <v>57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34" spans="1:26">
      <c r="A5" s="5">
        <v>46186</v>
      </c>
      <c r="B5" s="2" t="s">
        <v>58</v>
      </c>
      <c r="C5" s="2" t="s">
        <v>52</v>
      </c>
      <c r="D5" s="3">
        <v>500</v>
      </c>
      <c r="E5" s="2" t="s">
        <v>59</v>
      </c>
      <c r="F5" s="2" t="s">
        <v>54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7" spans="1:26">
      <c r="A6" s="5">
        <v>46187</v>
      </c>
      <c r="B6" s="2" t="s">
        <v>60</v>
      </c>
      <c r="C6" s="2" t="s">
        <v>52</v>
      </c>
      <c r="D6" s="3">
        <v>300</v>
      </c>
      <c r="E6" s="2" t="s">
        <v>52</v>
      </c>
      <c r="F6" s="2" t="s">
        <v>61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68" spans="1:26">
      <c r="A7" s="5">
        <v>6693612</v>
      </c>
      <c r="B7" s="2" t="s">
        <v>62</v>
      </c>
      <c r="C7" s="2" t="s">
        <v>52</v>
      </c>
      <c r="D7" s="3">
        <v>1190</v>
      </c>
      <c r="E7" s="2" t="s">
        <v>53</v>
      </c>
      <c r="F7" s="2" t="s">
        <v>61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7" spans="1:26">
      <c r="A8" s="5">
        <v>46192</v>
      </c>
      <c r="B8" s="2" t="s">
        <v>63</v>
      </c>
      <c r="C8" s="2" t="s">
        <v>52</v>
      </c>
      <c r="D8" s="3">
        <v>300</v>
      </c>
      <c r="E8" s="2" t="s">
        <v>52</v>
      </c>
      <c r="F8" s="2" t="s">
        <v>61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34" spans="1:26">
      <c r="A9" s="5">
        <v>46193</v>
      </c>
      <c r="B9" s="2" t="s">
        <v>64</v>
      </c>
      <c r="C9" s="2" t="s">
        <v>52</v>
      </c>
      <c r="D9" s="3">
        <v>500</v>
      </c>
      <c r="E9" s="2" t="s">
        <v>59</v>
      </c>
      <c r="F9" s="2" t="s">
        <v>54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7" spans="1:26">
      <c r="A10" s="5">
        <v>46194</v>
      </c>
      <c r="B10" s="2" t="s">
        <v>65</v>
      </c>
      <c r="C10" s="2" t="s">
        <v>52</v>
      </c>
      <c r="D10" s="3">
        <v>300</v>
      </c>
      <c r="E10" s="2" t="s">
        <v>52</v>
      </c>
      <c r="F10" s="2" t="s">
        <v>66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7" spans="1:26">
      <c r="A11" s="5">
        <v>46203</v>
      </c>
      <c r="B11" s="2" t="s">
        <v>67</v>
      </c>
      <c r="C11" s="2" t="s">
        <v>52</v>
      </c>
      <c r="D11" s="3">
        <v>300</v>
      </c>
      <c r="E11" s="2" t="s">
        <v>52</v>
      </c>
      <c r="F11" s="2" t="s">
        <v>54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34" spans="1:26">
      <c r="A12" s="2"/>
      <c r="B12" s="2" t="s">
        <v>68</v>
      </c>
      <c r="C12" s="2" t="s">
        <v>52</v>
      </c>
      <c r="D12" s="3"/>
      <c r="E12" s="2" t="s">
        <v>69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34" spans="1:26">
      <c r="A13" s="2"/>
      <c r="B13" s="2" t="s">
        <v>70</v>
      </c>
      <c r="C13" s="2" t="s">
        <v>52</v>
      </c>
      <c r="D13" s="3"/>
      <c r="E13" s="2" t="s">
        <v>69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34" spans="1:26">
      <c r="A14" s="2"/>
      <c r="B14" s="2" t="s">
        <v>71</v>
      </c>
      <c r="C14" s="2" t="s">
        <v>52</v>
      </c>
      <c r="D14" s="3"/>
      <c r="E14" s="2" t="s">
        <v>69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34" spans="1:26">
      <c r="A15" s="2"/>
      <c r="B15" s="2" t="s">
        <v>72</v>
      </c>
      <c r="C15" s="2" t="s">
        <v>52</v>
      </c>
      <c r="D15" s="3"/>
      <c r="E15" s="2" t="s">
        <v>69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34" spans="1:26">
      <c r="A16" s="2"/>
      <c r="B16" s="2" t="s">
        <v>73</v>
      </c>
      <c r="C16" s="2" t="s">
        <v>52</v>
      </c>
      <c r="D16" s="3"/>
      <c r="E16" s="2" t="s">
        <v>69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8" spans="1:26">
      <c r="A17" s="2"/>
      <c r="B17" s="2"/>
      <c r="C17" s="2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8" spans="1:26">
      <c r="A18" s="2"/>
      <c r="B18" s="2"/>
      <c r="C18" s="2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8" spans="1:26">
      <c r="A19" s="2"/>
      <c r="B19" s="2"/>
      <c r="C19" s="2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8" spans="1:26">
      <c r="A20" s="2"/>
      <c r="B20" s="2"/>
      <c r="C20" s="2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 spans="1:26">
      <c r="A21" s="2"/>
      <c r="B21" s="2"/>
      <c r="C21" s="2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 spans="1:26">
      <c r="A22" s="2"/>
      <c r="B22" s="2"/>
      <c r="C22" s="2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 spans="1:26">
      <c r="A23" s="2"/>
      <c r="B23" s="2"/>
      <c r="C23" s="2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 spans="1:26">
      <c r="A24" s="2"/>
      <c r="B24" s="2"/>
      <c r="C24" s="2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 spans="1:26">
      <c r="A25" s="2"/>
      <c r="B25" s="2"/>
      <c r="C25" s="2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 spans="1:26">
      <c r="A26" s="2"/>
      <c r="B26" s="2"/>
      <c r="C26" s="2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 spans="1:26">
      <c r="A27" s="2"/>
      <c r="B27" s="2"/>
      <c r="C27" s="2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 spans="1:26">
      <c r="A28" s="2"/>
      <c r="B28" s="2"/>
      <c r="C28" s="2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 spans="1:26">
      <c r="A29" s="2"/>
      <c r="B29" s="2"/>
      <c r="C29" s="2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 spans="1:26">
      <c r="A30" s="2"/>
      <c r="B30" s="2"/>
      <c r="C30" s="2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 spans="1:26">
      <c r="A31" s="2"/>
      <c r="B31" s="2"/>
      <c r="C31" s="2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 spans="1:26">
      <c r="A32" s="2"/>
      <c r="B32" s="2"/>
      <c r="C32" s="2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 spans="1:26">
      <c r="A33" s="2"/>
      <c r="B33" s="2"/>
      <c r="C33" s="2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 spans="1:26">
      <c r="A34" s="2"/>
      <c r="B34" s="2"/>
      <c r="C34" s="2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 spans="1:26">
      <c r="A35" s="2"/>
      <c r="B35" s="2"/>
      <c r="C35" s="2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 spans="1:26">
      <c r="A36" s="2"/>
      <c r="B36" s="2"/>
      <c r="C36" s="2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 spans="1:26">
      <c r="A37" s="2"/>
      <c r="B37" s="2"/>
      <c r="C37" s="2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 spans="1:26">
      <c r="A38" s="2"/>
      <c r="B38" s="2"/>
      <c r="C38" s="2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 spans="1:26">
      <c r="A39" s="2"/>
      <c r="B39" s="2"/>
      <c r="C39" s="2"/>
      <c r="D39" s="3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 spans="1:26">
      <c r="A40" s="2"/>
      <c r="B40" s="2"/>
      <c r="C40" s="2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 spans="1:26">
      <c r="A41" s="2"/>
      <c r="B41" s="2"/>
      <c r="C41" s="2"/>
      <c r="D41" s="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 spans="1:26">
      <c r="A42" s="2"/>
      <c r="B42" s="2"/>
      <c r="C42" s="2"/>
      <c r="D42" s="3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 spans="1:26">
      <c r="A43" s="2"/>
      <c r="B43" s="2"/>
      <c r="C43" s="2"/>
      <c r="D43" s="3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 spans="1:26">
      <c r="A44" s="2"/>
      <c r="B44" s="2"/>
      <c r="C44" s="2"/>
      <c r="D44" s="3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 spans="1:26">
      <c r="A45" s="2"/>
      <c r="B45" s="2"/>
      <c r="C45" s="2"/>
      <c r="D45" s="3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 spans="1:26">
      <c r="A46" s="2"/>
      <c r="B46" s="2"/>
      <c r="C46" s="2"/>
      <c r="D46" s="3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 spans="1:26">
      <c r="A47" s="2"/>
      <c r="B47" s="2"/>
      <c r="C47" s="2"/>
      <c r="D47" s="3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 spans="1:26">
      <c r="A48" s="2"/>
      <c r="B48" s="2"/>
      <c r="C48" s="2"/>
      <c r="D48" s="3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 spans="1:26">
      <c r="A49" s="2"/>
      <c r="B49" s="2"/>
      <c r="C49" s="2"/>
      <c r="D49" s="3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 spans="1:26">
      <c r="A50" s="2"/>
      <c r="B50" s="2"/>
      <c r="C50" s="2"/>
      <c r="D50" s="3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 spans="1:26">
      <c r="A51" s="2"/>
      <c r="B51" s="2"/>
      <c r="C51" s="2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 spans="1:26">
      <c r="A52" s="2"/>
      <c r="B52" s="2"/>
      <c r="C52" s="2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 spans="1:26">
      <c r="A53" s="2"/>
      <c r="B53" s="2"/>
      <c r="C53" s="2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 spans="1:26">
      <c r="A54" s="2"/>
      <c r="B54" s="2"/>
      <c r="C54" s="2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 spans="1:26">
      <c r="A55" s="2"/>
      <c r="B55" s="2"/>
      <c r="C55" s="2"/>
      <c r="D55" s="3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 spans="1:26">
      <c r="A56" s="2"/>
      <c r="B56" s="2"/>
      <c r="C56" s="2"/>
      <c r="D56" s="3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 spans="1:26">
      <c r="A57" s="2"/>
      <c r="B57" s="2"/>
      <c r="C57" s="2"/>
      <c r="D57" s="3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 spans="1:26">
      <c r="A58" s="2"/>
      <c r="B58" s="2"/>
      <c r="C58" s="2"/>
      <c r="D58" s="3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 spans="1:26">
      <c r="A59" s="2"/>
      <c r="B59" s="2"/>
      <c r="C59" s="2"/>
      <c r="D59" s="3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 spans="1:26">
      <c r="A60" s="2"/>
      <c r="B60" s="2"/>
      <c r="C60" s="2"/>
      <c r="D60" s="3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 spans="1:26">
      <c r="A61" s="2"/>
      <c r="B61" s="2"/>
      <c r="C61" s="2"/>
      <c r="D61" s="3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 spans="1:26">
      <c r="A62" s="2"/>
      <c r="B62" s="2"/>
      <c r="C62" s="2"/>
      <c r="D62" s="3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 spans="1:26">
      <c r="A63" s="2"/>
      <c r="B63" s="2"/>
      <c r="C63" s="2"/>
      <c r="D63" s="3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 spans="1:26">
      <c r="A64" s="2"/>
      <c r="B64" s="2"/>
      <c r="C64" s="2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 spans="1:26">
      <c r="A65" s="2"/>
      <c r="B65" s="2"/>
      <c r="C65" s="2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 spans="1:26">
      <c r="A66" s="2"/>
      <c r="B66" s="2"/>
      <c r="C66" s="2"/>
      <c r="D66" s="3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 spans="1:26">
      <c r="A67" s="2"/>
      <c r="B67" s="2"/>
      <c r="C67" s="2"/>
      <c r="D67" s="3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 spans="1:26">
      <c r="A68" s="2"/>
      <c r="B68" s="2"/>
      <c r="C68" s="2"/>
      <c r="D68" s="3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 spans="1:26">
      <c r="A69" s="2"/>
      <c r="B69" s="2"/>
      <c r="C69" s="2"/>
      <c r="D69" s="3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 spans="1:26">
      <c r="A70" s="2"/>
      <c r="B70" s="2"/>
      <c r="C70" s="2"/>
      <c r="D70" s="3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 spans="1:26">
      <c r="A71" s="2"/>
      <c r="B71" s="2"/>
      <c r="C71" s="2"/>
      <c r="D71" s="3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 spans="1:26">
      <c r="A72" s="2"/>
      <c r="B72" s="2"/>
      <c r="C72" s="2"/>
      <c r="D72" s="3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 spans="1:26">
      <c r="A73" s="2"/>
      <c r="B73" s="2"/>
      <c r="C73" s="2"/>
      <c r="D73" s="3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 spans="1:26">
      <c r="A74" s="2"/>
      <c r="B74" s="2"/>
      <c r="C74" s="2"/>
      <c r="D74" s="3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 spans="1:26">
      <c r="A75" s="2"/>
      <c r="B75" s="2"/>
      <c r="C75" s="2"/>
      <c r="D75" s="3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 spans="1:26">
      <c r="A76" s="2"/>
      <c r="B76" s="2"/>
      <c r="C76" s="2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 spans="1:26">
      <c r="A77" s="2"/>
      <c r="B77" s="2"/>
      <c r="C77" s="2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 spans="1:26">
      <c r="A78" s="2"/>
      <c r="B78" s="2"/>
      <c r="C78" s="2"/>
      <c r="D78" s="3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 spans="1:26">
      <c r="A79" s="2"/>
      <c r="B79" s="2"/>
      <c r="C79" s="2"/>
      <c r="D79" s="3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 spans="1:26">
      <c r="A80" s="2"/>
      <c r="B80" s="2"/>
      <c r="C80" s="2"/>
      <c r="D80" s="3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 spans="1:26">
      <c r="A81" s="2"/>
      <c r="B81" s="2"/>
      <c r="C81" s="2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 spans="1:26">
      <c r="A82" s="2"/>
      <c r="B82" s="2"/>
      <c r="C82" s="2"/>
      <c r="D82" s="3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 spans="1:26">
      <c r="A83" s="2"/>
      <c r="B83" s="2"/>
      <c r="C83" s="2"/>
      <c r="D83" s="3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 spans="1:26">
      <c r="A84" s="2"/>
      <c r="B84" s="2"/>
      <c r="C84" s="2"/>
      <c r="D84" s="3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 spans="1:26">
      <c r="A85" s="2"/>
      <c r="B85" s="2"/>
      <c r="C85" s="2"/>
      <c r="D85" s="3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 spans="1:26">
      <c r="A86" s="2"/>
      <c r="B86" s="2"/>
      <c r="C86" s="2"/>
      <c r="D86" s="3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 spans="1:26">
      <c r="A87" s="2"/>
      <c r="B87" s="2"/>
      <c r="C87" s="2"/>
      <c r="D87" s="3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 spans="1:26">
      <c r="A88" s="2"/>
      <c r="B88" s="2"/>
      <c r="C88" s="2"/>
      <c r="D88" s="3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 spans="1:26">
      <c r="A89" s="2"/>
      <c r="B89" s="2"/>
      <c r="C89" s="2"/>
      <c r="D89" s="3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 spans="1:26">
      <c r="A90" s="2"/>
      <c r="B90" s="2"/>
      <c r="C90" s="2"/>
      <c r="D90" s="3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 spans="1:26">
      <c r="A91" s="2"/>
      <c r="B91" s="2"/>
      <c r="C91" s="2"/>
      <c r="D91" s="3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 spans="1:26">
      <c r="A92" s="2"/>
      <c r="B92" s="2"/>
      <c r="C92" s="2"/>
      <c r="D92" s="3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 spans="1:26">
      <c r="A93" s="2"/>
      <c r="B93" s="2"/>
      <c r="C93" s="2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 spans="1:26">
      <c r="A94" s="2"/>
      <c r="B94" s="2"/>
      <c r="C94" s="2"/>
      <c r="D94" s="3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 spans="1:26">
      <c r="A95" s="2"/>
      <c r="B95" s="2"/>
      <c r="C95" s="2"/>
      <c r="D95" s="3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 spans="1:26">
      <c r="A96" s="2"/>
      <c r="B96" s="2"/>
      <c r="C96" s="2"/>
      <c r="D96" s="3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 spans="1:26">
      <c r="A97" s="2"/>
      <c r="B97" s="2"/>
      <c r="C97" s="2"/>
      <c r="D97" s="3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 spans="1:26">
      <c r="A98" s="2"/>
      <c r="B98" s="2"/>
      <c r="C98" s="2"/>
      <c r="D98" s="3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 spans="1:26">
      <c r="A99" s="2"/>
      <c r="B99" s="2"/>
      <c r="C99" s="2"/>
      <c r="D99" s="3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 spans="1:26">
      <c r="A100" s="2"/>
      <c r="B100" s="2"/>
      <c r="C100" s="2"/>
      <c r="D100" s="3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 spans="1:26">
      <c r="A101" s="2"/>
      <c r="B101" s="2"/>
      <c r="C101" s="2"/>
      <c r="D101" s="3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 spans="1:26">
      <c r="A102" s="2"/>
      <c r="B102" s="2"/>
      <c r="C102" s="2"/>
      <c r="D102" s="3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 spans="1:26">
      <c r="A103" s="2"/>
      <c r="B103" s="2"/>
      <c r="C103" s="2"/>
      <c r="D103" s="3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 spans="1:26">
      <c r="A104" s="2"/>
      <c r="B104" s="2"/>
      <c r="C104" s="2"/>
      <c r="D104" s="3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 spans="1:26">
      <c r="A105" s="2"/>
      <c r="B105" s="2"/>
      <c r="C105" s="2"/>
      <c r="D105" s="3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 spans="1:26">
      <c r="A106" s="2"/>
      <c r="B106" s="2"/>
      <c r="C106" s="2"/>
      <c r="D106" s="3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 spans="1:26">
      <c r="A107" s="2"/>
      <c r="B107" s="2"/>
      <c r="C107" s="2"/>
      <c r="D107" s="3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 spans="1:26">
      <c r="A108" s="2"/>
      <c r="B108" s="2"/>
      <c r="C108" s="2"/>
      <c r="D108" s="3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 spans="1:26">
      <c r="A109" s="2"/>
      <c r="B109" s="2"/>
      <c r="C109" s="2"/>
      <c r="D109" s="3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 spans="1:26">
      <c r="A110" s="2"/>
      <c r="B110" s="2"/>
      <c r="C110" s="2"/>
      <c r="D110" s="3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 spans="1:26">
      <c r="A111" s="2"/>
      <c r="B111" s="2"/>
      <c r="C111" s="2"/>
      <c r="D111" s="3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 spans="1:26">
      <c r="A112" s="2"/>
      <c r="B112" s="2"/>
      <c r="C112" s="2"/>
      <c r="D112" s="3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 spans="1:26">
      <c r="A113" s="2"/>
      <c r="B113" s="2"/>
      <c r="C113" s="2"/>
      <c r="D113" s="3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 spans="1:26">
      <c r="A114" s="2"/>
      <c r="B114" s="2"/>
      <c r="C114" s="2"/>
      <c r="D114" s="3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 spans="1:26">
      <c r="A115" s="2"/>
      <c r="B115" s="2"/>
      <c r="C115" s="2"/>
      <c r="D115" s="3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 spans="1:26">
      <c r="A116" s="2"/>
      <c r="B116" s="2"/>
      <c r="C116" s="2"/>
      <c r="D116" s="3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 spans="1:26">
      <c r="A117" s="2"/>
      <c r="B117" s="2"/>
      <c r="C117" s="2"/>
      <c r="D117" s="3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 spans="1:26">
      <c r="A118" s="2"/>
      <c r="B118" s="2"/>
      <c r="C118" s="2"/>
      <c r="D118" s="3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 spans="1:26">
      <c r="A119" s="2"/>
      <c r="B119" s="2"/>
      <c r="C119" s="2"/>
      <c r="D119" s="3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 spans="1:26">
      <c r="A120" s="2"/>
      <c r="B120" s="2"/>
      <c r="C120" s="2"/>
      <c r="D120" s="3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 spans="1:26">
      <c r="A121" s="2"/>
      <c r="B121" s="2"/>
      <c r="C121" s="2"/>
      <c r="D121" s="3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 spans="1:26">
      <c r="A122" s="2"/>
      <c r="B122" s="2"/>
      <c r="C122" s="2"/>
      <c r="D122" s="3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 spans="1:26">
      <c r="A123" s="2"/>
      <c r="B123" s="2"/>
      <c r="C123" s="2"/>
      <c r="D123" s="3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 spans="1:26">
      <c r="A124" s="2"/>
      <c r="B124" s="2"/>
      <c r="C124" s="2"/>
      <c r="D124" s="3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 spans="1:26">
      <c r="A125" s="2"/>
      <c r="B125" s="2"/>
      <c r="C125" s="2"/>
      <c r="D125" s="3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 spans="1:26">
      <c r="A126" s="2"/>
      <c r="B126" s="2"/>
      <c r="C126" s="2"/>
      <c r="D126" s="3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 spans="1:26">
      <c r="A127" s="2"/>
      <c r="B127" s="2"/>
      <c r="C127" s="2"/>
      <c r="D127" s="3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 spans="1:26">
      <c r="A128" s="2"/>
      <c r="B128" s="2"/>
      <c r="C128" s="2"/>
      <c r="D128" s="3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 spans="1:26">
      <c r="A129" s="2"/>
      <c r="B129" s="2"/>
      <c r="C129" s="2"/>
      <c r="D129" s="3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 spans="1:26">
      <c r="A130" s="2"/>
      <c r="B130" s="2"/>
      <c r="C130" s="2"/>
      <c r="D130" s="3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 spans="1:26">
      <c r="A131" s="2"/>
      <c r="B131" s="2"/>
      <c r="C131" s="2"/>
      <c r="D131" s="3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 spans="1:26">
      <c r="A132" s="2"/>
      <c r="B132" s="2"/>
      <c r="C132" s="2"/>
      <c r="D132" s="3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 spans="1:26">
      <c r="A133" s="2"/>
      <c r="B133" s="2"/>
      <c r="C133" s="2"/>
      <c r="D133" s="3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 spans="1:26">
      <c r="A134" s="2"/>
      <c r="B134" s="2"/>
      <c r="C134" s="2"/>
      <c r="D134" s="3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 spans="1:26">
      <c r="A135" s="2"/>
      <c r="B135" s="2"/>
      <c r="C135" s="2"/>
      <c r="D135" s="3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 spans="1:26">
      <c r="A136" s="2"/>
      <c r="B136" s="2"/>
      <c r="C136" s="2"/>
      <c r="D136" s="3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 spans="1:26">
      <c r="A137" s="2"/>
      <c r="B137" s="2"/>
      <c r="C137" s="2"/>
      <c r="D137" s="3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 spans="1:26">
      <c r="A138" s="2"/>
      <c r="B138" s="2"/>
      <c r="C138" s="2"/>
      <c r="D138" s="3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 spans="1:26">
      <c r="A139" s="2"/>
      <c r="B139" s="2"/>
      <c r="C139" s="2"/>
      <c r="D139" s="3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 spans="1:26">
      <c r="A140" s="2"/>
      <c r="B140" s="2"/>
      <c r="C140" s="2"/>
      <c r="D140" s="3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 spans="1:26">
      <c r="A141" s="2"/>
      <c r="B141" s="2"/>
      <c r="C141" s="2"/>
      <c r="D141" s="3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 spans="1:26">
      <c r="A142" s="2"/>
      <c r="B142" s="2"/>
      <c r="C142" s="2"/>
      <c r="D142" s="3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 spans="1:26">
      <c r="A143" s="2"/>
      <c r="B143" s="2"/>
      <c r="C143" s="2"/>
      <c r="D143" s="3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 spans="1:26">
      <c r="A144" s="2"/>
      <c r="B144" s="2"/>
      <c r="C144" s="2"/>
      <c r="D144" s="3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 spans="1:26">
      <c r="A145" s="2"/>
      <c r="B145" s="2"/>
      <c r="C145" s="2"/>
      <c r="D145" s="3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 spans="1:26">
      <c r="A146" s="2"/>
      <c r="B146" s="2"/>
      <c r="C146" s="2"/>
      <c r="D146" s="3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 spans="1:26">
      <c r="A147" s="2"/>
      <c r="B147" s="2"/>
      <c r="C147" s="2"/>
      <c r="D147" s="3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 spans="1:26">
      <c r="A148" s="2"/>
      <c r="B148" s="2"/>
      <c r="C148" s="2"/>
      <c r="D148" s="3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 spans="1:26">
      <c r="A149" s="2"/>
      <c r="B149" s="2"/>
      <c r="C149" s="2"/>
      <c r="D149" s="3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 spans="1:26">
      <c r="A150" s="2"/>
      <c r="B150" s="2"/>
      <c r="C150" s="2"/>
      <c r="D150" s="3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 spans="1:26">
      <c r="A151" s="2"/>
      <c r="B151" s="2"/>
      <c r="C151" s="2"/>
      <c r="D151" s="3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 spans="1:26">
      <c r="A152" s="2"/>
      <c r="B152" s="2"/>
      <c r="C152" s="2"/>
      <c r="D152" s="3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 spans="1:26">
      <c r="A153" s="2"/>
      <c r="B153" s="2"/>
      <c r="C153" s="2"/>
      <c r="D153" s="3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 spans="1:26">
      <c r="A154" s="2"/>
      <c r="B154" s="2"/>
      <c r="C154" s="2"/>
      <c r="D154" s="3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 spans="1:26">
      <c r="A155" s="2"/>
      <c r="B155" s="2"/>
      <c r="C155" s="2"/>
      <c r="D155" s="3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 spans="1:26">
      <c r="A156" s="2"/>
      <c r="B156" s="2"/>
      <c r="C156" s="2"/>
      <c r="D156" s="3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 spans="1:26">
      <c r="A157" s="2"/>
      <c r="B157" s="2"/>
      <c r="C157" s="2"/>
      <c r="D157" s="3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 spans="1:26">
      <c r="A158" s="2"/>
      <c r="B158" s="2"/>
      <c r="C158" s="2"/>
      <c r="D158" s="3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 spans="1:26">
      <c r="A159" s="2"/>
      <c r="B159" s="2"/>
      <c r="C159" s="2"/>
      <c r="D159" s="3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 spans="1:26">
      <c r="A160" s="2"/>
      <c r="B160" s="2"/>
      <c r="C160" s="2"/>
      <c r="D160" s="3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 spans="1:26">
      <c r="A161" s="2"/>
      <c r="B161" s="2"/>
      <c r="C161" s="2"/>
      <c r="D161" s="3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 spans="1:26">
      <c r="A162" s="2"/>
      <c r="B162" s="2"/>
      <c r="C162" s="2"/>
      <c r="D162" s="3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 spans="1:26">
      <c r="A163" s="2"/>
      <c r="B163" s="2"/>
      <c r="C163" s="2"/>
      <c r="D163" s="3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 spans="1:26">
      <c r="A164" s="2"/>
      <c r="B164" s="2"/>
      <c r="C164" s="2"/>
      <c r="D164" s="3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 spans="1:26">
      <c r="A165" s="2"/>
      <c r="B165" s="2"/>
      <c r="C165" s="2"/>
      <c r="D165" s="3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 spans="1:26">
      <c r="A166" s="2"/>
      <c r="B166" s="2"/>
      <c r="C166" s="2"/>
      <c r="D166" s="3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 spans="1:26">
      <c r="A167" s="2"/>
      <c r="B167" s="2"/>
      <c r="C167" s="2"/>
      <c r="D167" s="3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 spans="1:26">
      <c r="A168" s="2"/>
      <c r="B168" s="2"/>
      <c r="C168" s="2"/>
      <c r="D168" s="3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 spans="1:26">
      <c r="A169" s="2"/>
      <c r="B169" s="2"/>
      <c r="C169" s="2"/>
      <c r="D169" s="3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 spans="1:26">
      <c r="A170" s="2"/>
      <c r="B170" s="2"/>
      <c r="C170" s="2"/>
      <c r="D170" s="3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 spans="1:26">
      <c r="A171" s="2"/>
      <c r="B171" s="2"/>
      <c r="C171" s="2"/>
      <c r="D171" s="3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 spans="1:26">
      <c r="A172" s="2"/>
      <c r="B172" s="2"/>
      <c r="C172" s="2"/>
      <c r="D172" s="3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 spans="1:26">
      <c r="A173" s="2"/>
      <c r="B173" s="2"/>
      <c r="C173" s="2"/>
      <c r="D173" s="3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 spans="1:26">
      <c r="A174" s="2"/>
      <c r="B174" s="2"/>
      <c r="C174" s="2"/>
      <c r="D174" s="3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 spans="1:26">
      <c r="A175" s="2"/>
      <c r="B175" s="2"/>
      <c r="C175" s="2"/>
      <c r="D175" s="3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 spans="1:26">
      <c r="A176" s="2"/>
      <c r="B176" s="2"/>
      <c r="C176" s="2"/>
      <c r="D176" s="3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 spans="1:26">
      <c r="A177" s="2"/>
      <c r="B177" s="2"/>
      <c r="C177" s="2"/>
      <c r="D177" s="3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 spans="1:26">
      <c r="A178" s="2"/>
      <c r="B178" s="2"/>
      <c r="C178" s="2"/>
      <c r="D178" s="3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 spans="1:26">
      <c r="A179" s="2"/>
      <c r="B179" s="2"/>
      <c r="C179" s="2"/>
      <c r="D179" s="3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 spans="1:26">
      <c r="A180" s="2"/>
      <c r="B180" s="2"/>
      <c r="C180" s="2"/>
      <c r="D180" s="3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 spans="1:26">
      <c r="A181" s="2"/>
      <c r="B181" s="2"/>
      <c r="C181" s="2"/>
      <c r="D181" s="3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 spans="1:26">
      <c r="A182" s="2"/>
      <c r="B182" s="2"/>
      <c r="C182" s="2"/>
      <c r="D182" s="3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 spans="1:26">
      <c r="A183" s="2"/>
      <c r="B183" s="2"/>
      <c r="C183" s="2"/>
      <c r="D183" s="3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 spans="1:26">
      <c r="A184" s="2"/>
      <c r="B184" s="2"/>
      <c r="C184" s="2"/>
      <c r="D184" s="3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 spans="1:26">
      <c r="A185" s="2"/>
      <c r="B185" s="2"/>
      <c r="C185" s="2"/>
      <c r="D185" s="3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 spans="1:26">
      <c r="A186" s="2"/>
      <c r="B186" s="2"/>
      <c r="C186" s="2"/>
      <c r="D186" s="3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 spans="1:26">
      <c r="A187" s="2"/>
      <c r="B187" s="2"/>
      <c r="C187" s="2"/>
      <c r="D187" s="3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 spans="1:26">
      <c r="A188" s="2"/>
      <c r="B188" s="2"/>
      <c r="C188" s="2"/>
      <c r="D188" s="3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 spans="1:26">
      <c r="A189" s="2"/>
      <c r="B189" s="2"/>
      <c r="C189" s="2"/>
      <c r="D189" s="3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 spans="1:26">
      <c r="A190" s="2"/>
      <c r="B190" s="2"/>
      <c r="C190" s="2"/>
      <c r="D190" s="3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 spans="1:26">
      <c r="A191" s="2"/>
      <c r="B191" s="2"/>
      <c r="C191" s="2"/>
      <c r="D191" s="3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 spans="1:26">
      <c r="A192" s="2"/>
      <c r="B192" s="2"/>
      <c r="C192" s="2"/>
      <c r="D192" s="3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 spans="1:26">
      <c r="A193" s="2"/>
      <c r="B193" s="2"/>
      <c r="C193" s="2"/>
      <c r="D193" s="3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 spans="1:26">
      <c r="A194" s="2"/>
      <c r="B194" s="2"/>
      <c r="C194" s="2"/>
      <c r="D194" s="3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 spans="1:26">
      <c r="A195" s="2"/>
      <c r="B195" s="2"/>
      <c r="C195" s="2"/>
      <c r="D195" s="3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 spans="1:26">
      <c r="A196" s="2"/>
      <c r="B196" s="2"/>
      <c r="C196" s="2"/>
      <c r="D196" s="3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 spans="1:26">
      <c r="A197" s="2"/>
      <c r="B197" s="2"/>
      <c r="C197" s="2"/>
      <c r="D197" s="3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 spans="1:26">
      <c r="A198" s="2"/>
      <c r="B198" s="2"/>
      <c r="C198" s="2"/>
      <c r="D198" s="3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 spans="1:26">
      <c r="A199" s="2"/>
      <c r="B199" s="2"/>
      <c r="C199" s="2"/>
      <c r="D199" s="3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 spans="1:26">
      <c r="A200" s="2"/>
      <c r="B200" s="2"/>
      <c r="C200" s="2"/>
      <c r="D200" s="3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E2:E200">
    <cfRule type="expression" dxfId="9" priority="1">
      <formula>OR(E2="Выполнено",E2="Готово",E2="Оплачен полностью",E2="Подписано")</formula>
    </cfRule>
    <cfRule type="expression" dxfId="10" priority="2">
      <formula>OR(E2="Срочно",E2="Не оплачен")</formula>
    </cfRule>
    <cfRule type="expression" dxfId="11" priority="3">
      <formula>OR(E2="В процессе",E2="Ожидаю","E2"="Депозит")</formula>
    </cfRule>
  </conditionalFormatting>
  <dataValidations count="1">
    <dataValidation type="list" allowBlank="1" sqref="E2:E200">
      <formula1>Lists!$B$2:$B$6</formula1>
    </dataValidation>
  </dataValidations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999"/>
  <sheetViews>
    <sheetView workbookViewId="0">
      <selection activeCell="A1" sqref="A1"/>
    </sheetView>
  </sheetViews>
  <sheetFormatPr defaultColWidth="12.6346153846154" defaultRowHeight="15" customHeight="1"/>
  <cols>
    <col min="1" max="1" width="12" customWidth="1"/>
    <col min="2" max="2" width="18" customWidth="1"/>
    <col min="3" max="3" width="42" customWidth="1"/>
    <col min="4" max="6" width="8.63461538461539" customWidth="1"/>
    <col min="7" max="7" width="36" customWidth="1"/>
    <col min="8" max="26" width="8.63461538461539" customWidth="1"/>
  </cols>
  <sheetData>
    <row r="1" ht="34" spans="1:26">
      <c r="A1" s="1" t="s">
        <v>44</v>
      </c>
      <c r="B1" s="1" t="s">
        <v>17</v>
      </c>
      <c r="C1" s="1" t="s">
        <v>74</v>
      </c>
      <c r="D1" s="1" t="s">
        <v>47</v>
      </c>
      <c r="E1" s="1" t="s">
        <v>75</v>
      </c>
      <c r="F1" s="1" t="s">
        <v>48</v>
      </c>
      <c r="G1" s="1" t="s">
        <v>50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34" spans="1:26">
      <c r="A2" s="2"/>
      <c r="B2" s="2" t="s">
        <v>21</v>
      </c>
      <c r="C2" s="2" t="s">
        <v>76</v>
      </c>
      <c r="D2" s="3">
        <v>5232</v>
      </c>
      <c r="E2" s="2"/>
      <c r="F2" s="2" t="s">
        <v>77</v>
      </c>
      <c r="G2" s="2" t="s">
        <v>78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7" spans="1:26">
      <c r="A3" s="2"/>
      <c r="B3" s="2" t="s">
        <v>22</v>
      </c>
      <c r="C3" s="2" t="s">
        <v>79</v>
      </c>
      <c r="D3" s="3">
        <v>1350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7" spans="1:26">
      <c r="A4" s="2"/>
      <c r="B4" s="2" t="s">
        <v>24</v>
      </c>
      <c r="C4" s="2" t="s">
        <v>80</v>
      </c>
      <c r="D4" s="3">
        <v>650</v>
      </c>
      <c r="E4" s="2"/>
      <c r="F4" s="2" t="s">
        <v>81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7" spans="1:26">
      <c r="A5" s="2"/>
      <c r="B5" s="2" t="s">
        <v>22</v>
      </c>
      <c r="C5" s="2" t="s">
        <v>82</v>
      </c>
      <c r="D5" s="3">
        <v>1500</v>
      </c>
      <c r="E5" s="2"/>
      <c r="F5" s="2" t="s">
        <v>77</v>
      </c>
      <c r="G5" s="2" t="s">
        <v>83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7" spans="1:26">
      <c r="A6" s="2"/>
      <c r="B6" s="2" t="s">
        <v>26</v>
      </c>
      <c r="C6" s="2" t="s">
        <v>84</v>
      </c>
      <c r="D6" s="3">
        <v>1200</v>
      </c>
      <c r="E6" s="2"/>
      <c r="F6" s="2" t="s">
        <v>77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7" spans="1:26">
      <c r="A7" s="2"/>
      <c r="B7" s="2" t="s">
        <v>28</v>
      </c>
      <c r="C7" s="2" t="s">
        <v>85</v>
      </c>
      <c r="D7" s="3">
        <v>320</v>
      </c>
      <c r="E7" s="2"/>
      <c r="F7" s="2" t="s">
        <v>81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7" spans="1:26">
      <c r="A8" s="2"/>
      <c r="B8" s="2" t="s">
        <v>30</v>
      </c>
      <c r="C8" s="2" t="s">
        <v>86</v>
      </c>
      <c r="D8" s="3">
        <v>500</v>
      </c>
      <c r="E8" s="2"/>
      <c r="F8" s="2" t="s">
        <v>77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7" spans="1:26">
      <c r="A9" s="2"/>
      <c r="B9" s="2" t="s">
        <v>26</v>
      </c>
      <c r="C9" s="2" t="s">
        <v>87</v>
      </c>
      <c r="D9" s="3">
        <v>800</v>
      </c>
      <c r="E9" s="2"/>
      <c r="F9" s="2" t="s">
        <v>77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34" spans="1:26">
      <c r="A10" s="2"/>
      <c r="B10" s="2" t="s">
        <v>31</v>
      </c>
      <c r="C10" s="2" t="s">
        <v>88</v>
      </c>
      <c r="D10" s="3">
        <v>500</v>
      </c>
      <c r="E10" s="2"/>
      <c r="F10" s="2" t="s">
        <v>89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7" spans="1:26">
      <c r="A11" s="2"/>
      <c r="B11" s="2" t="s">
        <v>22</v>
      </c>
      <c r="C11" s="2" t="s">
        <v>90</v>
      </c>
      <c r="D11" s="3">
        <v>770</v>
      </c>
      <c r="E11" s="2"/>
      <c r="F11" s="4" t="s">
        <v>77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7" spans="1:26">
      <c r="A12" s="2"/>
      <c r="B12" s="2" t="s">
        <v>22</v>
      </c>
      <c r="C12" s="2" t="s">
        <v>91</v>
      </c>
      <c r="D12" s="3">
        <v>200</v>
      </c>
      <c r="E12" s="2"/>
      <c r="F12" s="2" t="s">
        <v>77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7" spans="1:26">
      <c r="A13" s="2"/>
      <c r="B13" s="2" t="s">
        <v>24</v>
      </c>
      <c r="C13" s="2" t="s">
        <v>92</v>
      </c>
      <c r="D13" s="3">
        <v>100</v>
      </c>
      <c r="E13" s="2"/>
      <c r="F13" s="2" t="s">
        <v>77</v>
      </c>
      <c r="G13" s="2" t="s">
        <v>93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7" spans="1:26">
      <c r="A14" s="2"/>
      <c r="B14" s="2" t="s">
        <v>94</v>
      </c>
      <c r="C14" s="2" t="s">
        <v>95</v>
      </c>
      <c r="D14" s="3">
        <v>600</v>
      </c>
      <c r="E14" s="2"/>
      <c r="F14" s="2" t="s">
        <v>77</v>
      </c>
      <c r="G14" s="2" t="s">
        <v>93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6.8" spans="1:26">
      <c r="A15" s="2"/>
      <c r="B15" s="2"/>
      <c r="C15" s="2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6.8" spans="1:26">
      <c r="A16" s="2"/>
      <c r="B16" s="2"/>
      <c r="C16" s="2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8" spans="1:26">
      <c r="A17" s="2"/>
      <c r="B17" s="2"/>
      <c r="C17" s="2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8" spans="1:26">
      <c r="A18" s="2"/>
      <c r="B18" s="2"/>
      <c r="C18" s="2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8" spans="1:26">
      <c r="A19" s="2"/>
      <c r="B19" s="2"/>
      <c r="C19" s="2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5.75" customHeight="1" spans="1:26">
      <c r="A20" s="2"/>
      <c r="B20" s="2"/>
      <c r="C20" s="2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 spans="1:26">
      <c r="A21" s="2"/>
      <c r="B21" s="2"/>
      <c r="C21" s="2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 spans="1:26">
      <c r="A22" s="2"/>
      <c r="B22" s="2"/>
      <c r="C22" s="2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 spans="1:26">
      <c r="A23" s="2"/>
      <c r="B23" s="2"/>
      <c r="C23" s="2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 spans="1:26">
      <c r="A24" s="2"/>
      <c r="B24" s="2"/>
      <c r="C24" s="2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 spans="1:26">
      <c r="A25" s="2"/>
      <c r="B25" s="2"/>
      <c r="C25" s="2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 spans="1:26">
      <c r="A26" s="2"/>
      <c r="B26" s="2"/>
      <c r="C26" s="2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 spans="1:26">
      <c r="A27" s="2"/>
      <c r="B27" s="2"/>
      <c r="C27" s="2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 spans="1:26">
      <c r="A28" s="2"/>
      <c r="B28" s="2"/>
      <c r="C28" s="2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 spans="1:26">
      <c r="A29" s="2"/>
      <c r="B29" s="2"/>
      <c r="C29" s="2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 spans="1:26">
      <c r="A30" s="2"/>
      <c r="B30" s="2"/>
      <c r="C30" s="2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 spans="1:26">
      <c r="A31" s="2"/>
      <c r="B31" s="2"/>
      <c r="C31" s="2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 spans="1:26">
      <c r="A32" s="2"/>
      <c r="B32" s="2"/>
      <c r="C32" s="2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 spans="1:26">
      <c r="A33" s="2"/>
      <c r="B33" s="2"/>
      <c r="C33" s="2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 spans="1:26">
      <c r="A34" s="2"/>
      <c r="B34" s="2"/>
      <c r="C34" s="2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 spans="1:26">
      <c r="A35" s="2"/>
      <c r="B35" s="2"/>
      <c r="C35" s="2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 spans="1:26">
      <c r="A36" s="2"/>
      <c r="B36" s="2"/>
      <c r="C36" s="2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 spans="1:26">
      <c r="A37" s="2"/>
      <c r="B37" s="2"/>
      <c r="C37" s="2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 spans="1:26">
      <c r="A38" s="2"/>
      <c r="B38" s="2"/>
      <c r="C38" s="2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 spans="1:26">
      <c r="A39" s="2"/>
      <c r="B39" s="2"/>
      <c r="C39" s="2"/>
      <c r="D39" s="3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 spans="1:26">
      <c r="A40" s="2"/>
      <c r="B40" s="2"/>
      <c r="C40" s="2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 spans="1:26">
      <c r="A41" s="2"/>
      <c r="B41" s="2"/>
      <c r="C41" s="2"/>
      <c r="D41" s="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 spans="1:26">
      <c r="A42" s="2"/>
      <c r="B42" s="2"/>
      <c r="C42" s="2"/>
      <c r="D42" s="3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 spans="1:26">
      <c r="A43" s="2"/>
      <c r="B43" s="2"/>
      <c r="C43" s="2"/>
      <c r="D43" s="3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 spans="1:26">
      <c r="A44" s="2"/>
      <c r="B44" s="2"/>
      <c r="C44" s="2"/>
      <c r="D44" s="3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 spans="1:26">
      <c r="A45" s="2"/>
      <c r="B45" s="2"/>
      <c r="C45" s="2"/>
      <c r="D45" s="3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 spans="1:26">
      <c r="A46" s="2"/>
      <c r="B46" s="2"/>
      <c r="C46" s="2"/>
      <c r="D46" s="3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 spans="1:26">
      <c r="A47" s="2"/>
      <c r="B47" s="2"/>
      <c r="C47" s="2"/>
      <c r="D47" s="3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 spans="1:26">
      <c r="A48" s="2"/>
      <c r="B48" s="2"/>
      <c r="C48" s="2"/>
      <c r="D48" s="3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 spans="1:26">
      <c r="A49" s="2"/>
      <c r="B49" s="2"/>
      <c r="C49" s="2"/>
      <c r="D49" s="3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 spans="1:26">
      <c r="A50" s="2"/>
      <c r="B50" s="2"/>
      <c r="C50" s="2"/>
      <c r="D50" s="3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 spans="1:26">
      <c r="A51" s="2"/>
      <c r="B51" s="2"/>
      <c r="C51" s="2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 spans="1:26">
      <c r="A52" s="2"/>
      <c r="B52" s="2"/>
      <c r="C52" s="2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 spans="1:26">
      <c r="A53" s="2"/>
      <c r="B53" s="2"/>
      <c r="C53" s="2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 spans="1:26">
      <c r="A54" s="2"/>
      <c r="B54" s="2"/>
      <c r="C54" s="2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 spans="1:26">
      <c r="A55" s="2"/>
      <c r="B55" s="2"/>
      <c r="C55" s="2"/>
      <c r="D55" s="3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 spans="1:26">
      <c r="A56" s="2"/>
      <c r="B56" s="2"/>
      <c r="C56" s="2"/>
      <c r="D56" s="3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 spans="1:26">
      <c r="A57" s="2"/>
      <c r="B57" s="2"/>
      <c r="C57" s="2"/>
      <c r="D57" s="3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 spans="1:26">
      <c r="A58" s="2"/>
      <c r="B58" s="2"/>
      <c r="C58" s="2"/>
      <c r="D58" s="3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 spans="1:26">
      <c r="A59" s="2"/>
      <c r="B59" s="2"/>
      <c r="C59" s="2"/>
      <c r="D59" s="3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 spans="1:26">
      <c r="A60" s="2"/>
      <c r="B60" s="2"/>
      <c r="C60" s="2"/>
      <c r="D60" s="3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 spans="1:26">
      <c r="A61" s="2"/>
      <c r="B61" s="2"/>
      <c r="C61" s="2"/>
      <c r="D61" s="3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 spans="1:26">
      <c r="A62" s="2"/>
      <c r="B62" s="2"/>
      <c r="C62" s="2"/>
      <c r="D62" s="3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 spans="1:26">
      <c r="A63" s="2"/>
      <c r="B63" s="2"/>
      <c r="C63" s="2"/>
      <c r="D63" s="3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 spans="1:26">
      <c r="A64" s="2"/>
      <c r="B64" s="2"/>
      <c r="C64" s="2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 spans="1:26">
      <c r="A65" s="2"/>
      <c r="B65" s="2"/>
      <c r="C65" s="2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 spans="1:26">
      <c r="A66" s="2"/>
      <c r="B66" s="2"/>
      <c r="C66" s="2"/>
      <c r="D66" s="3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 spans="1:26">
      <c r="A67" s="2"/>
      <c r="B67" s="2"/>
      <c r="C67" s="2"/>
      <c r="D67" s="3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 spans="1:26">
      <c r="A68" s="2"/>
      <c r="B68" s="2"/>
      <c r="C68" s="2"/>
      <c r="D68" s="3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 spans="1:26">
      <c r="A69" s="2"/>
      <c r="B69" s="2"/>
      <c r="C69" s="2"/>
      <c r="D69" s="3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 spans="1:26">
      <c r="A70" s="2"/>
      <c r="B70" s="2"/>
      <c r="C70" s="2"/>
      <c r="D70" s="3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 spans="1:26">
      <c r="A71" s="2"/>
      <c r="B71" s="2"/>
      <c r="C71" s="2"/>
      <c r="D71" s="3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 spans="1:26">
      <c r="A72" s="2"/>
      <c r="B72" s="2"/>
      <c r="C72" s="2"/>
      <c r="D72" s="3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 spans="1:26">
      <c r="A73" s="2"/>
      <c r="B73" s="2"/>
      <c r="C73" s="2"/>
      <c r="D73" s="3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 spans="1:26">
      <c r="A74" s="2"/>
      <c r="B74" s="2"/>
      <c r="C74" s="2"/>
      <c r="D74" s="3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 spans="1:26">
      <c r="A75" s="2"/>
      <c r="B75" s="2"/>
      <c r="C75" s="2"/>
      <c r="D75" s="3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 spans="1:26">
      <c r="A76" s="2"/>
      <c r="B76" s="2"/>
      <c r="C76" s="2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 spans="1:26">
      <c r="A77" s="2"/>
      <c r="B77" s="2"/>
      <c r="C77" s="2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 spans="1:26">
      <c r="A78" s="2"/>
      <c r="B78" s="2"/>
      <c r="C78" s="2"/>
      <c r="D78" s="3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 spans="1:26">
      <c r="A79" s="2"/>
      <c r="B79" s="2"/>
      <c r="C79" s="2"/>
      <c r="D79" s="3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 spans="1:26">
      <c r="A80" s="2"/>
      <c r="B80" s="2"/>
      <c r="C80" s="2"/>
      <c r="D80" s="3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 spans="1:26">
      <c r="A81" s="2"/>
      <c r="B81" s="2"/>
      <c r="C81" s="2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 spans="1:26">
      <c r="A82" s="2"/>
      <c r="B82" s="2"/>
      <c r="C82" s="2"/>
      <c r="D82" s="3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 spans="1:26">
      <c r="A83" s="2"/>
      <c r="B83" s="2"/>
      <c r="C83" s="2"/>
      <c r="D83" s="3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 spans="1:26">
      <c r="A84" s="2"/>
      <c r="B84" s="2"/>
      <c r="C84" s="2"/>
      <c r="D84" s="3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 spans="1:26">
      <c r="A85" s="2"/>
      <c r="B85" s="2"/>
      <c r="C85" s="2"/>
      <c r="D85" s="3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 spans="1:26">
      <c r="A86" s="2"/>
      <c r="B86" s="2"/>
      <c r="C86" s="2"/>
      <c r="D86" s="3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 spans="1:26">
      <c r="A87" s="2"/>
      <c r="B87" s="2"/>
      <c r="C87" s="2"/>
      <c r="D87" s="3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 spans="1:26">
      <c r="A88" s="2"/>
      <c r="B88" s="2"/>
      <c r="C88" s="2"/>
      <c r="D88" s="3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 spans="1:26">
      <c r="A89" s="2"/>
      <c r="B89" s="2"/>
      <c r="C89" s="2"/>
      <c r="D89" s="3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 spans="1:26">
      <c r="A90" s="2"/>
      <c r="B90" s="2"/>
      <c r="C90" s="2"/>
      <c r="D90" s="3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 spans="1:26">
      <c r="A91" s="2"/>
      <c r="B91" s="2"/>
      <c r="C91" s="2"/>
      <c r="D91" s="3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 spans="1:26">
      <c r="A92" s="2"/>
      <c r="B92" s="2"/>
      <c r="C92" s="2"/>
      <c r="D92" s="3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 spans="1:26">
      <c r="A93" s="2"/>
      <c r="B93" s="2"/>
      <c r="C93" s="2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 spans="1:26">
      <c r="A94" s="2"/>
      <c r="B94" s="2"/>
      <c r="C94" s="2"/>
      <c r="D94" s="3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 spans="1:26">
      <c r="A95" s="2"/>
      <c r="B95" s="2"/>
      <c r="C95" s="2"/>
      <c r="D95" s="3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 spans="1:26">
      <c r="A96" s="2"/>
      <c r="B96" s="2"/>
      <c r="C96" s="2"/>
      <c r="D96" s="3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 spans="1:26">
      <c r="A97" s="2"/>
      <c r="B97" s="2"/>
      <c r="C97" s="2"/>
      <c r="D97" s="3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 spans="1:26">
      <c r="A98" s="2"/>
      <c r="B98" s="2"/>
      <c r="C98" s="2"/>
      <c r="D98" s="3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 spans="1:26">
      <c r="A99" s="2"/>
      <c r="B99" s="2"/>
      <c r="C99" s="2"/>
      <c r="D99" s="3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 spans="1:26">
      <c r="A100" s="2"/>
      <c r="B100" s="2"/>
      <c r="C100" s="2"/>
      <c r="D100" s="3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 spans="1:26">
      <c r="A101" s="2"/>
      <c r="B101" s="2"/>
      <c r="C101" s="2"/>
      <c r="D101" s="3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 spans="1:26">
      <c r="A102" s="2"/>
      <c r="B102" s="2"/>
      <c r="C102" s="2"/>
      <c r="D102" s="3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 spans="1:26">
      <c r="A103" s="2"/>
      <c r="B103" s="2"/>
      <c r="C103" s="2"/>
      <c r="D103" s="3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 spans="1:26">
      <c r="A104" s="2"/>
      <c r="B104" s="2"/>
      <c r="C104" s="2"/>
      <c r="D104" s="3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 spans="1:26">
      <c r="A105" s="2"/>
      <c r="B105" s="2"/>
      <c r="C105" s="2"/>
      <c r="D105" s="3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 spans="1:26">
      <c r="A106" s="2"/>
      <c r="B106" s="2"/>
      <c r="C106" s="2"/>
      <c r="D106" s="3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 spans="1:26">
      <c r="A107" s="2"/>
      <c r="B107" s="2"/>
      <c r="C107" s="2"/>
      <c r="D107" s="3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 spans="1:26">
      <c r="A108" s="2"/>
      <c r="B108" s="2"/>
      <c r="C108" s="2"/>
      <c r="D108" s="3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 spans="1:26">
      <c r="A109" s="2"/>
      <c r="B109" s="2"/>
      <c r="C109" s="2"/>
      <c r="D109" s="3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 spans="1:26">
      <c r="A110" s="2"/>
      <c r="B110" s="2"/>
      <c r="C110" s="2"/>
      <c r="D110" s="3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 spans="1:26">
      <c r="A111" s="2"/>
      <c r="B111" s="2"/>
      <c r="C111" s="2"/>
      <c r="D111" s="3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 spans="1:26">
      <c r="A112" s="2"/>
      <c r="B112" s="2"/>
      <c r="C112" s="2"/>
      <c r="D112" s="3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 spans="1:26">
      <c r="A113" s="2"/>
      <c r="B113" s="2"/>
      <c r="C113" s="2"/>
      <c r="D113" s="3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 spans="1:26">
      <c r="A114" s="2"/>
      <c r="B114" s="2"/>
      <c r="C114" s="2"/>
      <c r="D114" s="3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 spans="1:26">
      <c r="A115" s="2"/>
      <c r="B115" s="2"/>
      <c r="C115" s="2"/>
      <c r="D115" s="3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 spans="1:26">
      <c r="A116" s="2"/>
      <c r="B116" s="2"/>
      <c r="C116" s="2"/>
      <c r="D116" s="3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 spans="1:26">
      <c r="A117" s="2"/>
      <c r="B117" s="2"/>
      <c r="C117" s="2"/>
      <c r="D117" s="3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 spans="1:26">
      <c r="A118" s="2"/>
      <c r="B118" s="2"/>
      <c r="C118" s="2"/>
      <c r="D118" s="3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 spans="1:26">
      <c r="A119" s="2"/>
      <c r="B119" s="2"/>
      <c r="C119" s="2"/>
      <c r="D119" s="3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 spans="1:26">
      <c r="A120" s="2"/>
      <c r="B120" s="2"/>
      <c r="C120" s="2"/>
      <c r="D120" s="3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 spans="1:26">
      <c r="A121" s="2"/>
      <c r="B121" s="2"/>
      <c r="C121" s="2"/>
      <c r="D121" s="3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 spans="1:26">
      <c r="A122" s="2"/>
      <c r="B122" s="2"/>
      <c r="C122" s="2"/>
      <c r="D122" s="3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 spans="1:26">
      <c r="A123" s="2"/>
      <c r="B123" s="2"/>
      <c r="C123" s="2"/>
      <c r="D123" s="3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 spans="1:26">
      <c r="A124" s="2"/>
      <c r="B124" s="2"/>
      <c r="C124" s="2"/>
      <c r="D124" s="3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 spans="1:26">
      <c r="A125" s="2"/>
      <c r="B125" s="2"/>
      <c r="C125" s="2"/>
      <c r="D125" s="3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 spans="1:26">
      <c r="A126" s="2"/>
      <c r="B126" s="2"/>
      <c r="C126" s="2"/>
      <c r="D126" s="3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 spans="1:26">
      <c r="A127" s="2"/>
      <c r="B127" s="2"/>
      <c r="C127" s="2"/>
      <c r="D127" s="3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 spans="1:26">
      <c r="A128" s="2"/>
      <c r="B128" s="2"/>
      <c r="C128" s="2"/>
      <c r="D128" s="3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 spans="1:26">
      <c r="A129" s="2"/>
      <c r="B129" s="2"/>
      <c r="C129" s="2"/>
      <c r="D129" s="3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 spans="1:26">
      <c r="A130" s="2"/>
      <c r="B130" s="2"/>
      <c r="C130" s="2"/>
      <c r="D130" s="3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 spans="1:26">
      <c r="A131" s="2"/>
      <c r="B131" s="2"/>
      <c r="C131" s="2"/>
      <c r="D131" s="3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 spans="1:26">
      <c r="A132" s="2"/>
      <c r="B132" s="2"/>
      <c r="C132" s="2"/>
      <c r="D132" s="3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 spans="1:26">
      <c r="A133" s="2"/>
      <c r="B133" s="2"/>
      <c r="C133" s="2"/>
      <c r="D133" s="3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 spans="1:26">
      <c r="A134" s="2"/>
      <c r="B134" s="2"/>
      <c r="C134" s="2"/>
      <c r="D134" s="3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 spans="1:26">
      <c r="A135" s="2"/>
      <c r="B135" s="2"/>
      <c r="C135" s="2"/>
      <c r="D135" s="3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 spans="1:26">
      <c r="A136" s="2"/>
      <c r="B136" s="2"/>
      <c r="C136" s="2"/>
      <c r="D136" s="3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 spans="1:26">
      <c r="A137" s="2"/>
      <c r="B137" s="2"/>
      <c r="C137" s="2"/>
      <c r="D137" s="3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 spans="1:26">
      <c r="A138" s="2"/>
      <c r="B138" s="2"/>
      <c r="C138" s="2"/>
      <c r="D138" s="3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 spans="1:26">
      <c r="A139" s="2"/>
      <c r="B139" s="2"/>
      <c r="C139" s="2"/>
      <c r="D139" s="3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 spans="1:26">
      <c r="A140" s="2"/>
      <c r="B140" s="2"/>
      <c r="C140" s="2"/>
      <c r="D140" s="3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 spans="1:26">
      <c r="A141" s="2"/>
      <c r="B141" s="2"/>
      <c r="C141" s="2"/>
      <c r="D141" s="3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 spans="1:26">
      <c r="A142" s="2"/>
      <c r="B142" s="2"/>
      <c r="C142" s="2"/>
      <c r="D142" s="3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 spans="1:26">
      <c r="A143" s="2"/>
      <c r="B143" s="2"/>
      <c r="C143" s="2"/>
      <c r="D143" s="3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 spans="1:26">
      <c r="A144" s="2"/>
      <c r="B144" s="2"/>
      <c r="C144" s="2"/>
      <c r="D144" s="3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 spans="1:26">
      <c r="A145" s="2"/>
      <c r="B145" s="2"/>
      <c r="C145" s="2"/>
      <c r="D145" s="3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 spans="1:26">
      <c r="A146" s="2"/>
      <c r="B146" s="2"/>
      <c r="C146" s="2"/>
      <c r="D146" s="3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 spans="1:26">
      <c r="A147" s="2"/>
      <c r="B147" s="2"/>
      <c r="C147" s="2"/>
      <c r="D147" s="3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 spans="1:26">
      <c r="A148" s="2"/>
      <c r="B148" s="2"/>
      <c r="C148" s="2"/>
      <c r="D148" s="3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 spans="1:26">
      <c r="A149" s="2"/>
      <c r="B149" s="2"/>
      <c r="C149" s="2"/>
      <c r="D149" s="3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 spans="1:26">
      <c r="A150" s="2"/>
      <c r="B150" s="2"/>
      <c r="C150" s="2"/>
      <c r="D150" s="3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 spans="1:26">
      <c r="A151" s="2"/>
      <c r="B151" s="2"/>
      <c r="C151" s="2"/>
      <c r="D151" s="3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 spans="1:26">
      <c r="A152" s="2"/>
      <c r="B152" s="2"/>
      <c r="C152" s="2"/>
      <c r="D152" s="3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 spans="1:26">
      <c r="A153" s="2"/>
      <c r="B153" s="2"/>
      <c r="C153" s="2"/>
      <c r="D153" s="3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 spans="1:26">
      <c r="A154" s="2"/>
      <c r="B154" s="2"/>
      <c r="C154" s="2"/>
      <c r="D154" s="3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 spans="1:26">
      <c r="A155" s="2"/>
      <c r="B155" s="2"/>
      <c r="C155" s="2"/>
      <c r="D155" s="3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 spans="1:26">
      <c r="A156" s="2"/>
      <c r="B156" s="2"/>
      <c r="C156" s="2"/>
      <c r="D156" s="3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 spans="1:26">
      <c r="A157" s="2"/>
      <c r="B157" s="2"/>
      <c r="C157" s="2"/>
      <c r="D157" s="3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 spans="1:26">
      <c r="A158" s="2"/>
      <c r="B158" s="2"/>
      <c r="C158" s="2"/>
      <c r="D158" s="3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 spans="1:26">
      <c r="A159" s="2"/>
      <c r="B159" s="2"/>
      <c r="C159" s="2"/>
      <c r="D159" s="3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 spans="1:26">
      <c r="A160" s="2"/>
      <c r="B160" s="2"/>
      <c r="C160" s="2"/>
      <c r="D160" s="3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 spans="1:26">
      <c r="A161" s="2"/>
      <c r="B161" s="2"/>
      <c r="C161" s="2"/>
      <c r="D161" s="3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 spans="1:26">
      <c r="A162" s="2"/>
      <c r="B162" s="2"/>
      <c r="C162" s="2"/>
      <c r="D162" s="3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 spans="1:26">
      <c r="A163" s="2"/>
      <c r="B163" s="2"/>
      <c r="C163" s="2"/>
      <c r="D163" s="3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 spans="1:26">
      <c r="A164" s="2"/>
      <c r="B164" s="2"/>
      <c r="C164" s="2"/>
      <c r="D164" s="3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 spans="1:26">
      <c r="A165" s="2"/>
      <c r="B165" s="2"/>
      <c r="C165" s="2"/>
      <c r="D165" s="3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 spans="1:26">
      <c r="A166" s="2"/>
      <c r="B166" s="2"/>
      <c r="C166" s="2"/>
      <c r="D166" s="3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 spans="1:26">
      <c r="A167" s="2"/>
      <c r="B167" s="2"/>
      <c r="C167" s="2"/>
      <c r="D167" s="3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 spans="1:26">
      <c r="A168" s="2"/>
      <c r="B168" s="2"/>
      <c r="C168" s="2"/>
      <c r="D168" s="3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 spans="1:26">
      <c r="A169" s="2"/>
      <c r="B169" s="2"/>
      <c r="C169" s="2"/>
      <c r="D169" s="3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 spans="1:26">
      <c r="A170" s="2"/>
      <c r="B170" s="2"/>
      <c r="C170" s="2"/>
      <c r="D170" s="3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 spans="1:26">
      <c r="A171" s="2"/>
      <c r="B171" s="2"/>
      <c r="C171" s="2"/>
      <c r="D171" s="3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 spans="1:26">
      <c r="A172" s="2"/>
      <c r="B172" s="2"/>
      <c r="C172" s="2"/>
      <c r="D172" s="3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 spans="1:26">
      <c r="A173" s="2"/>
      <c r="B173" s="2"/>
      <c r="C173" s="2"/>
      <c r="D173" s="3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 spans="1:26">
      <c r="A174" s="2"/>
      <c r="B174" s="2"/>
      <c r="C174" s="2"/>
      <c r="D174" s="3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 spans="1:26">
      <c r="A175" s="2"/>
      <c r="B175" s="2"/>
      <c r="C175" s="2"/>
      <c r="D175" s="3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 spans="1:26">
      <c r="A176" s="2"/>
      <c r="B176" s="2"/>
      <c r="C176" s="2"/>
      <c r="D176" s="3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 spans="1:26">
      <c r="A177" s="2"/>
      <c r="B177" s="2"/>
      <c r="C177" s="2"/>
      <c r="D177" s="3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 spans="1:26">
      <c r="A178" s="2"/>
      <c r="B178" s="2"/>
      <c r="C178" s="2"/>
      <c r="D178" s="3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 spans="1:26">
      <c r="A179" s="2"/>
      <c r="B179" s="2"/>
      <c r="C179" s="2"/>
      <c r="D179" s="3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 spans="1:26">
      <c r="A180" s="2"/>
      <c r="B180" s="2"/>
      <c r="C180" s="2"/>
      <c r="D180" s="3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 spans="1:26">
      <c r="A181" s="2"/>
      <c r="B181" s="2"/>
      <c r="C181" s="2"/>
      <c r="D181" s="3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 spans="1:26">
      <c r="A182" s="2"/>
      <c r="B182" s="2"/>
      <c r="C182" s="2"/>
      <c r="D182" s="3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 spans="1:26">
      <c r="A183" s="2"/>
      <c r="B183" s="2"/>
      <c r="C183" s="2"/>
      <c r="D183" s="3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 spans="1:26">
      <c r="A184" s="2"/>
      <c r="B184" s="2"/>
      <c r="C184" s="2"/>
      <c r="D184" s="3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 spans="1:26">
      <c r="A185" s="2"/>
      <c r="B185" s="2"/>
      <c r="C185" s="2"/>
      <c r="D185" s="3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 spans="1:26">
      <c r="A186" s="2"/>
      <c r="B186" s="2"/>
      <c r="C186" s="2"/>
      <c r="D186" s="3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 spans="1:26">
      <c r="A187" s="2"/>
      <c r="B187" s="2"/>
      <c r="C187" s="2"/>
      <c r="D187" s="3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 spans="1:26">
      <c r="A188" s="2"/>
      <c r="B188" s="2"/>
      <c r="C188" s="2"/>
      <c r="D188" s="3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 spans="1:26">
      <c r="A189" s="2"/>
      <c r="B189" s="2"/>
      <c r="C189" s="2"/>
      <c r="D189" s="3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 spans="1:26">
      <c r="A190" s="2"/>
      <c r="B190" s="2"/>
      <c r="C190" s="2"/>
      <c r="D190" s="3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 spans="1:26">
      <c r="A191" s="2"/>
      <c r="B191" s="2"/>
      <c r="C191" s="2"/>
      <c r="D191" s="3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 spans="1:26">
      <c r="A192" s="2"/>
      <c r="B192" s="2"/>
      <c r="C192" s="2"/>
      <c r="D192" s="3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 spans="1:26">
      <c r="A193" s="2"/>
      <c r="B193" s="2"/>
      <c r="C193" s="2"/>
      <c r="D193" s="3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 spans="1:26">
      <c r="A194" s="2"/>
      <c r="B194" s="2"/>
      <c r="C194" s="2"/>
      <c r="D194" s="3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 spans="1:26">
      <c r="A195" s="2"/>
      <c r="B195" s="2"/>
      <c r="C195" s="2"/>
      <c r="D195" s="3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 spans="1:26">
      <c r="A196" s="2"/>
      <c r="B196" s="2"/>
      <c r="C196" s="2"/>
      <c r="D196" s="3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 spans="1:26">
      <c r="A197" s="2"/>
      <c r="B197" s="2"/>
      <c r="C197" s="2"/>
      <c r="D197" s="3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 spans="1:26">
      <c r="A198" s="2"/>
      <c r="B198" s="2"/>
      <c r="C198" s="2"/>
      <c r="D198" s="3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 spans="1:26">
      <c r="A199" s="2"/>
      <c r="B199" s="2"/>
      <c r="C199" s="2"/>
      <c r="D199" s="3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conditionalFormatting sqref="F2:F199">
    <cfRule type="expression" dxfId="9" priority="1">
      <formula>OR(F2="Выполнено",F2="Готово",F2="Оплачен полностью",F2="Подписано")</formula>
    </cfRule>
    <cfRule type="expression" dxfId="10" priority="2">
      <formula>OR(F2="Срочно",F2="Не оплачен")</formula>
    </cfRule>
    <cfRule type="expression" dxfId="11" priority="3">
      <formula>OR(F2="В процессе",F2="Ожидаю","F2"="Депозит")</formula>
    </cfRule>
  </conditionalFormatting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2.6346153846154" defaultRowHeight="15" customHeight="1"/>
  <cols>
    <col min="1" max="1" width="6" customWidth="1"/>
    <col min="2" max="2" width="20" customWidth="1"/>
    <col min="3" max="4" width="18" customWidth="1"/>
    <col min="5" max="7" width="8.63461538461539" customWidth="1"/>
    <col min="8" max="10" width="18" customWidth="1"/>
    <col min="11" max="26" width="8.63461538461539" customWidth="1"/>
  </cols>
  <sheetData>
    <row r="1" ht="51" spans="1:26">
      <c r="A1" s="1" t="s">
        <v>96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  <c r="H1" s="1" t="s">
        <v>103</v>
      </c>
      <c r="I1" s="1" t="s">
        <v>104</v>
      </c>
      <c r="J1" s="1" t="s">
        <v>48</v>
      </c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34" spans="1:26">
      <c r="A2" s="2">
        <v>1</v>
      </c>
      <c r="B2" s="2" t="s">
        <v>105</v>
      </c>
      <c r="C2" s="2"/>
      <c r="D2" s="2"/>
      <c r="E2" s="3">
        <v>300</v>
      </c>
      <c r="F2" s="3">
        <f>Inputs!$B$4-E2</f>
        <v>890</v>
      </c>
      <c r="G2" s="3">
        <f t="shared" ref="G2:G16" si="0">E2+F2</f>
        <v>1190</v>
      </c>
      <c r="H2" s="2" t="s">
        <v>77</v>
      </c>
      <c r="I2" s="2" t="s">
        <v>77</v>
      </c>
      <c r="J2" s="2" t="s">
        <v>53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34" spans="1:26">
      <c r="A3" s="2">
        <v>2</v>
      </c>
      <c r="B3" s="2" t="s">
        <v>55</v>
      </c>
      <c r="C3" s="2"/>
      <c r="D3" s="2"/>
      <c r="E3" s="3">
        <v>300</v>
      </c>
      <c r="F3" s="3">
        <f>Inputs!$B$4-E3</f>
        <v>890</v>
      </c>
      <c r="G3" s="3">
        <f t="shared" si="0"/>
        <v>1190</v>
      </c>
      <c r="H3" s="2" t="s">
        <v>77</v>
      </c>
      <c r="I3" s="2" t="s">
        <v>77</v>
      </c>
      <c r="J3" s="2" t="s">
        <v>53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34" spans="1:26">
      <c r="A4" s="2">
        <v>3</v>
      </c>
      <c r="B4" s="2" t="s">
        <v>56</v>
      </c>
      <c r="C4" s="2"/>
      <c r="D4" s="2"/>
      <c r="E4" s="3">
        <v>300</v>
      </c>
      <c r="F4" s="3">
        <f>Inputs!$B$4-E4</f>
        <v>890</v>
      </c>
      <c r="G4" s="3">
        <f t="shared" si="0"/>
        <v>1190</v>
      </c>
      <c r="H4" s="2" t="s">
        <v>77</v>
      </c>
      <c r="I4" s="2" t="s">
        <v>77</v>
      </c>
      <c r="J4" s="2" t="s">
        <v>53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7" spans="1:26">
      <c r="A5" s="2">
        <v>4</v>
      </c>
      <c r="B5" s="2" t="s">
        <v>58</v>
      </c>
      <c r="C5" s="2"/>
      <c r="D5" s="2"/>
      <c r="E5" s="3">
        <v>500</v>
      </c>
      <c r="F5" s="3">
        <f>Inputs!$B$4-E5</f>
        <v>690</v>
      </c>
      <c r="G5" s="3">
        <f t="shared" si="0"/>
        <v>1190</v>
      </c>
      <c r="H5" s="2" t="s">
        <v>77</v>
      </c>
      <c r="I5" s="2" t="s">
        <v>77</v>
      </c>
      <c r="J5" s="2" t="s">
        <v>52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4" spans="1:26">
      <c r="A6" s="2">
        <v>5</v>
      </c>
      <c r="B6" s="2" t="s">
        <v>62</v>
      </c>
      <c r="C6" s="2"/>
      <c r="D6" s="2"/>
      <c r="E6" s="3">
        <v>300</v>
      </c>
      <c r="F6" s="3">
        <f>Inputs!$B$4-E6</f>
        <v>890</v>
      </c>
      <c r="G6" s="3">
        <f t="shared" si="0"/>
        <v>1190</v>
      </c>
      <c r="H6" s="2" t="s">
        <v>77</v>
      </c>
      <c r="I6" s="2" t="s">
        <v>77</v>
      </c>
      <c r="J6" s="2" t="s">
        <v>53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7" spans="1:26">
      <c r="A7" s="2">
        <v>6</v>
      </c>
      <c r="B7" s="2" t="s">
        <v>106</v>
      </c>
      <c r="C7" s="2"/>
      <c r="D7" s="2"/>
      <c r="E7" s="3">
        <v>300</v>
      </c>
      <c r="F7" s="3">
        <f>Inputs!$B$4-E7</f>
        <v>890</v>
      </c>
      <c r="G7" s="3">
        <f t="shared" si="0"/>
        <v>1190</v>
      </c>
      <c r="H7" s="2" t="s">
        <v>77</v>
      </c>
      <c r="I7" s="2" t="s">
        <v>77</v>
      </c>
      <c r="J7" s="2" t="s">
        <v>52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7" spans="1:26">
      <c r="A8" s="2">
        <v>7</v>
      </c>
      <c r="B8" s="2" t="s">
        <v>60</v>
      </c>
      <c r="C8" s="2"/>
      <c r="D8" s="2"/>
      <c r="E8" s="3">
        <v>300</v>
      </c>
      <c r="F8" s="3">
        <f>Inputs!$B$4-E8</f>
        <v>890</v>
      </c>
      <c r="G8" s="3">
        <f t="shared" si="0"/>
        <v>1190</v>
      </c>
      <c r="H8" s="2" t="s">
        <v>107</v>
      </c>
      <c r="I8" s="2" t="s">
        <v>77</v>
      </c>
      <c r="J8" s="2" t="s">
        <v>52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7" spans="1:26">
      <c r="A9" s="2">
        <v>8</v>
      </c>
      <c r="B9" s="2" t="s">
        <v>108</v>
      </c>
      <c r="C9" s="2"/>
      <c r="D9" s="2"/>
      <c r="E9" s="3">
        <v>500</v>
      </c>
      <c r="F9" s="3">
        <f>Inputs!$B$4-E9</f>
        <v>690</v>
      </c>
      <c r="G9" s="3">
        <f t="shared" si="0"/>
        <v>1190</v>
      </c>
      <c r="H9" s="2" t="s">
        <v>77</v>
      </c>
      <c r="I9" s="2" t="s">
        <v>77</v>
      </c>
      <c r="J9" s="2" t="s">
        <v>52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7" spans="1:26">
      <c r="A10" s="2">
        <v>9</v>
      </c>
      <c r="B10" s="2" t="s">
        <v>109</v>
      </c>
      <c r="C10" s="2"/>
      <c r="D10" s="2"/>
      <c r="E10" s="3">
        <v>300</v>
      </c>
      <c r="F10" s="3">
        <f>Inputs!$B$4-E10</f>
        <v>890</v>
      </c>
      <c r="G10" s="3">
        <f t="shared" si="0"/>
        <v>1190</v>
      </c>
      <c r="H10" s="2" t="s">
        <v>77</v>
      </c>
      <c r="I10" s="2" t="s">
        <v>77</v>
      </c>
      <c r="J10" s="2" t="s">
        <v>52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7" spans="1:26">
      <c r="A11" s="2">
        <v>10</v>
      </c>
      <c r="B11" s="2" t="s">
        <v>110</v>
      </c>
      <c r="C11" s="2"/>
      <c r="D11" s="2"/>
      <c r="E11" s="3">
        <v>300</v>
      </c>
      <c r="F11" s="3">
        <f>Inputs!$B$4-E11</f>
        <v>890</v>
      </c>
      <c r="G11" s="3">
        <f t="shared" si="0"/>
        <v>1190</v>
      </c>
      <c r="H11" s="2" t="s">
        <v>77</v>
      </c>
      <c r="I11" s="2" t="s">
        <v>77</v>
      </c>
      <c r="J11" s="2" t="s">
        <v>52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7" spans="1:26">
      <c r="A12" s="2">
        <v>11</v>
      </c>
      <c r="B12" s="2" t="s">
        <v>68</v>
      </c>
      <c r="C12" s="2"/>
      <c r="D12" s="2"/>
      <c r="E12" s="3"/>
      <c r="F12" s="3">
        <f>Inputs!$B$4-E12</f>
        <v>1190</v>
      </c>
      <c r="G12" s="3">
        <f t="shared" si="0"/>
        <v>1190</v>
      </c>
      <c r="H12" s="2" t="s">
        <v>77</v>
      </c>
      <c r="I12" s="2" t="s">
        <v>77</v>
      </c>
      <c r="J12" s="2" t="s">
        <v>69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7" spans="1:26">
      <c r="A13" s="2">
        <v>12</v>
      </c>
      <c r="B13" s="2" t="s">
        <v>70</v>
      </c>
      <c r="C13" s="2"/>
      <c r="D13" s="2"/>
      <c r="E13" s="3"/>
      <c r="F13" s="3">
        <f>Inputs!$B$4-E13</f>
        <v>1190</v>
      </c>
      <c r="G13" s="3">
        <f t="shared" si="0"/>
        <v>1190</v>
      </c>
      <c r="H13" s="2" t="s">
        <v>77</v>
      </c>
      <c r="I13" s="2" t="s">
        <v>77</v>
      </c>
      <c r="J13" s="2" t="s">
        <v>69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7" spans="1:26">
      <c r="A14" s="2">
        <v>13</v>
      </c>
      <c r="B14" s="2" t="s">
        <v>71</v>
      </c>
      <c r="C14" s="2"/>
      <c r="D14" s="2"/>
      <c r="E14" s="3"/>
      <c r="F14" s="3">
        <f>Inputs!$B$4-E14</f>
        <v>1190</v>
      </c>
      <c r="G14" s="3">
        <f t="shared" si="0"/>
        <v>1190</v>
      </c>
      <c r="H14" s="2" t="s">
        <v>77</v>
      </c>
      <c r="I14" s="2" t="s">
        <v>77</v>
      </c>
      <c r="J14" s="2" t="s">
        <v>69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7" spans="1:26">
      <c r="A15" s="2">
        <v>14</v>
      </c>
      <c r="B15" s="2" t="s">
        <v>72</v>
      </c>
      <c r="C15" s="2"/>
      <c r="D15" s="2"/>
      <c r="E15" s="3"/>
      <c r="F15" s="3">
        <f>Inputs!$B$4-E15</f>
        <v>1190</v>
      </c>
      <c r="G15" s="3">
        <f t="shared" si="0"/>
        <v>1190</v>
      </c>
      <c r="H15" s="2" t="s">
        <v>77</v>
      </c>
      <c r="I15" s="2" t="s">
        <v>77</v>
      </c>
      <c r="J15" s="2" t="s">
        <v>69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7" spans="1:26">
      <c r="A16" s="2">
        <v>15</v>
      </c>
      <c r="B16" s="2" t="s">
        <v>73</v>
      </c>
      <c r="C16" s="2"/>
      <c r="D16" s="2"/>
      <c r="E16" s="3"/>
      <c r="F16" s="3">
        <f>Inputs!$B$4-E16</f>
        <v>1190</v>
      </c>
      <c r="G16" s="3">
        <f t="shared" si="0"/>
        <v>1190</v>
      </c>
      <c r="H16" s="2" t="s">
        <v>77</v>
      </c>
      <c r="I16" s="2" t="s">
        <v>77</v>
      </c>
      <c r="J16" s="2" t="s">
        <v>69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8" spans="1:26">
      <c r="A17" s="2"/>
      <c r="B17" s="2"/>
      <c r="C17" s="2"/>
      <c r="D17" s="2"/>
      <c r="E17" s="3"/>
      <c r="F17" s="3"/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8" spans="1:26">
      <c r="A18" s="2"/>
      <c r="B18" s="2"/>
      <c r="C18" s="2"/>
      <c r="D18" s="2"/>
      <c r="E18" s="3"/>
      <c r="F18" s="3"/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8" spans="1:26">
      <c r="A19" s="2"/>
      <c r="B19" s="2"/>
      <c r="C19" s="2"/>
      <c r="D19" s="2"/>
      <c r="E19" s="3"/>
      <c r="F19" s="3"/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8" spans="1:26">
      <c r="A20" s="2"/>
      <c r="B20" s="2"/>
      <c r="C20" s="2"/>
      <c r="D20" s="2"/>
      <c r="E20" s="3"/>
      <c r="F20" s="3"/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 spans="1:26">
      <c r="A21" s="2"/>
      <c r="B21" s="2"/>
      <c r="C21" s="2"/>
      <c r="D21" s="2"/>
      <c r="E21" s="3"/>
      <c r="F21" s="3"/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 spans="1:26">
      <c r="A22" s="2"/>
      <c r="B22" s="2"/>
      <c r="C22" s="2"/>
      <c r="D22" s="2"/>
      <c r="E22" s="3"/>
      <c r="F22" s="3"/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 spans="1:26">
      <c r="A23" s="2"/>
      <c r="B23" s="2"/>
      <c r="C23" s="2"/>
      <c r="D23" s="2"/>
      <c r="E23" s="3"/>
      <c r="F23" s="3"/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 spans="1:26">
      <c r="A24" s="2"/>
      <c r="B24" s="2"/>
      <c r="C24" s="2"/>
      <c r="D24" s="2"/>
      <c r="E24" s="3"/>
      <c r="F24" s="3"/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 spans="1:26">
      <c r="A25" s="2"/>
      <c r="B25" s="2"/>
      <c r="C25" s="2"/>
      <c r="D25" s="2"/>
      <c r="E25" s="3"/>
      <c r="F25" s="3"/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 spans="1:26">
      <c r="A26" s="2"/>
      <c r="B26" s="2"/>
      <c r="C26" s="2"/>
      <c r="D26" s="2"/>
      <c r="E26" s="3"/>
      <c r="F26" s="3"/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 spans="1:26">
      <c r="A27" s="2"/>
      <c r="B27" s="2"/>
      <c r="C27" s="2"/>
      <c r="D27" s="2"/>
      <c r="E27" s="3"/>
      <c r="F27" s="3"/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 spans="1:26">
      <c r="A28" s="2"/>
      <c r="B28" s="2"/>
      <c r="C28" s="2"/>
      <c r="D28" s="2"/>
      <c r="E28" s="3"/>
      <c r="F28" s="3"/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 spans="1:26">
      <c r="A29" s="2"/>
      <c r="B29" s="2"/>
      <c r="C29" s="2"/>
      <c r="D29" s="2"/>
      <c r="E29" s="3"/>
      <c r="F29" s="3"/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 spans="1:26">
      <c r="A30" s="2"/>
      <c r="B30" s="2"/>
      <c r="C30" s="2"/>
      <c r="D30" s="2"/>
      <c r="E30" s="3"/>
      <c r="F30" s="3"/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 spans="1:26">
      <c r="A31" s="2"/>
      <c r="B31" s="2"/>
      <c r="C31" s="2"/>
      <c r="D31" s="2"/>
      <c r="E31" s="3"/>
      <c r="F31" s="3"/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 spans="1:26">
      <c r="A32" s="2"/>
      <c r="B32" s="2"/>
      <c r="C32" s="2"/>
      <c r="D32" s="2"/>
      <c r="E32" s="3"/>
      <c r="F32" s="3"/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 spans="1:26">
      <c r="A33" s="2"/>
      <c r="B33" s="2"/>
      <c r="C33" s="2"/>
      <c r="D33" s="2"/>
      <c r="E33" s="3"/>
      <c r="F33" s="3"/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 spans="1:26">
      <c r="A34" s="2"/>
      <c r="B34" s="2"/>
      <c r="C34" s="2"/>
      <c r="D34" s="2"/>
      <c r="E34" s="3"/>
      <c r="F34" s="3"/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 spans="1:26">
      <c r="A35" s="2"/>
      <c r="B35" s="2"/>
      <c r="C35" s="2"/>
      <c r="D35" s="2"/>
      <c r="E35" s="3"/>
      <c r="F35" s="3"/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 spans="1:26">
      <c r="A36" s="2"/>
      <c r="B36" s="2"/>
      <c r="C36" s="2"/>
      <c r="D36" s="2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 spans="1:26">
      <c r="A37" s="2"/>
      <c r="B37" s="2"/>
      <c r="C37" s="2"/>
      <c r="D37" s="2"/>
      <c r="E37" s="3"/>
      <c r="F37" s="3"/>
      <c r="G37" s="3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 spans="1:26">
      <c r="A38" s="2"/>
      <c r="B38" s="2"/>
      <c r="C38" s="2"/>
      <c r="D38" s="2"/>
      <c r="E38" s="3"/>
      <c r="F38" s="3"/>
      <c r="G38" s="3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 spans="1:26">
      <c r="A39" s="2"/>
      <c r="B39" s="2"/>
      <c r="C39" s="2"/>
      <c r="D39" s="2"/>
      <c r="E39" s="3"/>
      <c r="F39" s="3"/>
      <c r="G39" s="3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 spans="1:26">
      <c r="A40" s="2"/>
      <c r="B40" s="2"/>
      <c r="C40" s="2"/>
      <c r="D40" s="2"/>
      <c r="E40" s="3"/>
      <c r="F40" s="3"/>
      <c r="G40" s="3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 spans="1:26">
      <c r="A41" s="2"/>
      <c r="B41" s="2"/>
      <c r="C41" s="2"/>
      <c r="D41" s="2"/>
      <c r="E41" s="3"/>
      <c r="F41" s="3"/>
      <c r="G41" s="3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 spans="1:26">
      <c r="A42" s="2"/>
      <c r="B42" s="2"/>
      <c r="C42" s="2"/>
      <c r="D42" s="2"/>
      <c r="E42" s="3"/>
      <c r="F42" s="3"/>
      <c r="G42" s="3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 spans="1:26">
      <c r="A43" s="2"/>
      <c r="B43" s="2"/>
      <c r="C43" s="2"/>
      <c r="D43" s="2"/>
      <c r="E43" s="3"/>
      <c r="F43" s="3"/>
      <c r="G43" s="3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 spans="1:26">
      <c r="A44" s="2"/>
      <c r="B44" s="2"/>
      <c r="C44" s="2"/>
      <c r="D44" s="2"/>
      <c r="E44" s="3"/>
      <c r="F44" s="3"/>
      <c r="G44" s="3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 spans="1:26">
      <c r="A45" s="2"/>
      <c r="B45" s="2"/>
      <c r="C45" s="2"/>
      <c r="D45" s="2"/>
      <c r="E45" s="3"/>
      <c r="F45" s="3"/>
      <c r="G45" s="3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 spans="1:26">
      <c r="A46" s="2"/>
      <c r="B46" s="2"/>
      <c r="C46" s="2"/>
      <c r="D46" s="2"/>
      <c r="E46" s="3"/>
      <c r="F46" s="3"/>
      <c r="G46" s="3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 spans="1:26">
      <c r="A47" s="2"/>
      <c r="B47" s="2"/>
      <c r="C47" s="2"/>
      <c r="D47" s="2"/>
      <c r="E47" s="3"/>
      <c r="F47" s="3"/>
      <c r="G47" s="3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 spans="1:26">
      <c r="A48" s="2"/>
      <c r="B48" s="2"/>
      <c r="C48" s="2"/>
      <c r="D48" s="2"/>
      <c r="E48" s="3"/>
      <c r="F48" s="3"/>
      <c r="G48" s="3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 spans="1:26">
      <c r="A49" s="2"/>
      <c r="B49" s="2"/>
      <c r="C49" s="2"/>
      <c r="D49" s="2"/>
      <c r="E49" s="3"/>
      <c r="F49" s="3"/>
      <c r="G49" s="3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 spans="1:26">
      <c r="A50" s="2"/>
      <c r="B50" s="2"/>
      <c r="C50" s="2"/>
      <c r="D50" s="2"/>
      <c r="E50" s="3"/>
      <c r="F50" s="3"/>
      <c r="G50" s="3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 spans="1:26">
      <c r="A51" s="2"/>
      <c r="B51" s="2"/>
      <c r="C51" s="2"/>
      <c r="D51" s="2"/>
      <c r="E51" s="3"/>
      <c r="F51" s="3"/>
      <c r="G51" s="3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 spans="1:26">
      <c r="A52" s="2"/>
      <c r="B52" s="2"/>
      <c r="C52" s="2"/>
      <c r="D52" s="2"/>
      <c r="E52" s="3"/>
      <c r="F52" s="3"/>
      <c r="G52" s="3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 spans="1:26">
      <c r="A53" s="2"/>
      <c r="B53" s="2"/>
      <c r="C53" s="2"/>
      <c r="D53" s="2"/>
      <c r="E53" s="3"/>
      <c r="F53" s="3"/>
      <c r="G53" s="3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 spans="1:26">
      <c r="A54" s="2"/>
      <c r="B54" s="2"/>
      <c r="C54" s="2"/>
      <c r="D54" s="2"/>
      <c r="E54" s="3"/>
      <c r="F54" s="3"/>
      <c r="G54" s="3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 spans="1:26">
      <c r="A55" s="2"/>
      <c r="B55" s="2"/>
      <c r="C55" s="2"/>
      <c r="D55" s="2"/>
      <c r="E55" s="3"/>
      <c r="F55" s="3"/>
      <c r="G55" s="3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 spans="1:26">
      <c r="A56" s="2"/>
      <c r="B56" s="2"/>
      <c r="C56" s="2"/>
      <c r="D56" s="2"/>
      <c r="E56" s="3"/>
      <c r="F56" s="3"/>
      <c r="G56" s="3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 spans="1:26">
      <c r="A57" s="2"/>
      <c r="B57" s="2"/>
      <c r="C57" s="2"/>
      <c r="D57" s="2"/>
      <c r="E57" s="3"/>
      <c r="F57" s="3"/>
      <c r="G57" s="3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 spans="1:26">
      <c r="A58" s="2"/>
      <c r="B58" s="2"/>
      <c r="C58" s="2"/>
      <c r="D58" s="2"/>
      <c r="E58" s="3"/>
      <c r="F58" s="3"/>
      <c r="G58" s="3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 spans="1:26">
      <c r="A59" s="2"/>
      <c r="B59" s="2"/>
      <c r="C59" s="2"/>
      <c r="D59" s="2"/>
      <c r="E59" s="3"/>
      <c r="F59" s="3"/>
      <c r="G59" s="3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 spans="1:26">
      <c r="A60" s="2"/>
      <c r="B60" s="2"/>
      <c r="C60" s="2"/>
      <c r="D60" s="2"/>
      <c r="E60" s="3"/>
      <c r="F60" s="3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 spans="1:26">
      <c r="A61" s="2"/>
      <c r="B61" s="2"/>
      <c r="C61" s="2"/>
      <c r="D61" s="2"/>
      <c r="E61" s="3"/>
      <c r="F61" s="3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 spans="1:26">
      <c r="A62" s="2"/>
      <c r="B62" s="2"/>
      <c r="C62" s="2"/>
      <c r="D62" s="2"/>
      <c r="E62" s="3"/>
      <c r="F62" s="3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 spans="1:26">
      <c r="A63" s="2"/>
      <c r="B63" s="2"/>
      <c r="C63" s="2"/>
      <c r="D63" s="2"/>
      <c r="E63" s="3"/>
      <c r="F63" s="3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 spans="1:26">
      <c r="A64" s="2"/>
      <c r="B64" s="2"/>
      <c r="C64" s="2"/>
      <c r="D64" s="2"/>
      <c r="E64" s="3"/>
      <c r="F64" s="3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 spans="1:26">
      <c r="A65" s="2"/>
      <c r="B65" s="2"/>
      <c r="C65" s="2"/>
      <c r="D65" s="2"/>
      <c r="E65" s="3"/>
      <c r="F65" s="3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 spans="1:26">
      <c r="A66" s="2"/>
      <c r="B66" s="2"/>
      <c r="C66" s="2"/>
      <c r="D66" s="2"/>
      <c r="E66" s="3"/>
      <c r="F66" s="3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 spans="1:26">
      <c r="A67" s="2"/>
      <c r="B67" s="2"/>
      <c r="C67" s="2"/>
      <c r="D67" s="2"/>
      <c r="E67" s="3"/>
      <c r="F67" s="3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 spans="1:26">
      <c r="A68" s="2"/>
      <c r="B68" s="2"/>
      <c r="C68" s="2"/>
      <c r="D68" s="2"/>
      <c r="E68" s="3"/>
      <c r="F68" s="3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 spans="1:26">
      <c r="A69" s="2"/>
      <c r="B69" s="2"/>
      <c r="C69" s="2"/>
      <c r="D69" s="2"/>
      <c r="E69" s="3"/>
      <c r="F69" s="3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 spans="1:26">
      <c r="A70" s="2"/>
      <c r="B70" s="2"/>
      <c r="C70" s="2"/>
      <c r="D70" s="2"/>
      <c r="E70" s="3"/>
      <c r="F70" s="3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 spans="1:26">
      <c r="A71" s="2"/>
      <c r="B71" s="2"/>
      <c r="C71" s="2"/>
      <c r="D71" s="2"/>
      <c r="E71" s="3"/>
      <c r="F71" s="3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 spans="1:26">
      <c r="A72" s="2"/>
      <c r="B72" s="2"/>
      <c r="C72" s="2"/>
      <c r="D72" s="2"/>
      <c r="E72" s="3"/>
      <c r="F72" s="3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 spans="1:26">
      <c r="A73" s="2"/>
      <c r="B73" s="2"/>
      <c r="C73" s="2"/>
      <c r="D73" s="2"/>
      <c r="E73" s="3"/>
      <c r="F73" s="3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 spans="1:26">
      <c r="A74" s="2"/>
      <c r="B74" s="2"/>
      <c r="C74" s="2"/>
      <c r="D74" s="2"/>
      <c r="E74" s="3"/>
      <c r="F74" s="3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 spans="1:26">
      <c r="A75" s="2"/>
      <c r="B75" s="2"/>
      <c r="C75" s="2"/>
      <c r="D75" s="2"/>
      <c r="E75" s="3"/>
      <c r="F75" s="3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 spans="1:26">
      <c r="A76" s="2"/>
      <c r="B76" s="2"/>
      <c r="C76" s="2"/>
      <c r="D76" s="2"/>
      <c r="E76" s="3"/>
      <c r="F76" s="3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 spans="1:26">
      <c r="A77" s="2"/>
      <c r="B77" s="2"/>
      <c r="C77" s="2"/>
      <c r="D77" s="2"/>
      <c r="E77" s="3"/>
      <c r="F77" s="3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 spans="1:26">
      <c r="A78" s="2"/>
      <c r="B78" s="2"/>
      <c r="C78" s="2"/>
      <c r="D78" s="2"/>
      <c r="E78" s="3"/>
      <c r="F78" s="3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 spans="1:26">
      <c r="A79" s="2"/>
      <c r="B79" s="2"/>
      <c r="C79" s="2"/>
      <c r="D79" s="2"/>
      <c r="E79" s="3"/>
      <c r="F79" s="3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 spans="1:26">
      <c r="A80" s="2"/>
      <c r="B80" s="2"/>
      <c r="C80" s="2"/>
      <c r="D80" s="2"/>
      <c r="E80" s="3"/>
      <c r="F80" s="3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 spans="1:26">
      <c r="A81" s="2"/>
      <c r="B81" s="2"/>
      <c r="C81" s="2"/>
      <c r="D81" s="2"/>
      <c r="E81" s="3"/>
      <c r="F81" s="3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 spans="1:26">
      <c r="A82" s="2"/>
      <c r="B82" s="2"/>
      <c r="C82" s="2"/>
      <c r="D82" s="2"/>
      <c r="E82" s="3"/>
      <c r="F82" s="3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 spans="1:26">
      <c r="A83" s="2"/>
      <c r="B83" s="2"/>
      <c r="C83" s="2"/>
      <c r="D83" s="2"/>
      <c r="E83" s="3"/>
      <c r="F83" s="3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 spans="1:26">
      <c r="A84" s="2"/>
      <c r="B84" s="2"/>
      <c r="C84" s="2"/>
      <c r="D84" s="2"/>
      <c r="E84" s="3"/>
      <c r="F84" s="3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 spans="1:26">
      <c r="A85" s="2"/>
      <c r="B85" s="2"/>
      <c r="C85" s="2"/>
      <c r="D85" s="2"/>
      <c r="E85" s="3"/>
      <c r="F85" s="3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 spans="1:26">
      <c r="A86" s="2"/>
      <c r="B86" s="2"/>
      <c r="C86" s="2"/>
      <c r="D86" s="2"/>
      <c r="E86" s="3"/>
      <c r="F86" s="3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 spans="1:26">
      <c r="A87" s="2"/>
      <c r="B87" s="2"/>
      <c r="C87" s="2"/>
      <c r="D87" s="2"/>
      <c r="E87" s="3"/>
      <c r="F87" s="3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 spans="1:26">
      <c r="A88" s="2"/>
      <c r="B88" s="2"/>
      <c r="C88" s="2"/>
      <c r="D88" s="2"/>
      <c r="E88" s="3"/>
      <c r="F88" s="3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 spans="1:26">
      <c r="A89" s="2"/>
      <c r="B89" s="2"/>
      <c r="C89" s="2"/>
      <c r="D89" s="2"/>
      <c r="E89" s="3"/>
      <c r="F89" s="3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 spans="1:26">
      <c r="A90" s="2"/>
      <c r="B90" s="2"/>
      <c r="C90" s="2"/>
      <c r="D90" s="2"/>
      <c r="E90" s="3"/>
      <c r="F90" s="3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 spans="1:26">
      <c r="A91" s="2"/>
      <c r="B91" s="2"/>
      <c r="C91" s="2"/>
      <c r="D91" s="2"/>
      <c r="E91" s="3"/>
      <c r="F91" s="3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 spans="1:26">
      <c r="A92" s="2"/>
      <c r="B92" s="2"/>
      <c r="C92" s="2"/>
      <c r="D92" s="2"/>
      <c r="E92" s="3"/>
      <c r="F92" s="3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 spans="1:26">
      <c r="A93" s="2"/>
      <c r="B93" s="2"/>
      <c r="C93" s="2"/>
      <c r="D93" s="2"/>
      <c r="E93" s="3"/>
      <c r="F93" s="3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 spans="1:26">
      <c r="A94" s="2"/>
      <c r="B94" s="2"/>
      <c r="C94" s="2"/>
      <c r="D94" s="2"/>
      <c r="E94" s="3"/>
      <c r="F94" s="3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 spans="1:26">
      <c r="A95" s="2"/>
      <c r="B95" s="2"/>
      <c r="C95" s="2"/>
      <c r="D95" s="2"/>
      <c r="E95" s="3"/>
      <c r="F95" s="3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 spans="1:26">
      <c r="A96" s="2"/>
      <c r="B96" s="2"/>
      <c r="C96" s="2"/>
      <c r="D96" s="2"/>
      <c r="E96" s="3"/>
      <c r="F96" s="3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 spans="1:26">
      <c r="A97" s="2"/>
      <c r="B97" s="2"/>
      <c r="C97" s="2"/>
      <c r="D97" s="2"/>
      <c r="E97" s="3"/>
      <c r="F97" s="3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 spans="1:26">
      <c r="A98" s="2"/>
      <c r="B98" s="2"/>
      <c r="C98" s="2"/>
      <c r="D98" s="2"/>
      <c r="E98" s="3"/>
      <c r="F98" s="3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 spans="1:26">
      <c r="A99" s="2"/>
      <c r="B99" s="2"/>
      <c r="C99" s="2"/>
      <c r="D99" s="2"/>
      <c r="E99" s="3"/>
      <c r="F99" s="3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 spans="1:26">
      <c r="A100" s="2"/>
      <c r="B100" s="2"/>
      <c r="C100" s="2"/>
      <c r="D100" s="2"/>
      <c r="E100" s="3"/>
      <c r="F100" s="3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 spans="1:26">
      <c r="A101" s="2"/>
      <c r="B101" s="2"/>
      <c r="C101" s="2"/>
      <c r="D101" s="2"/>
      <c r="E101" s="3"/>
      <c r="F101" s="3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 spans="1:26">
      <c r="A102" s="2"/>
      <c r="B102" s="2"/>
      <c r="C102" s="2"/>
      <c r="D102" s="2"/>
      <c r="E102" s="3"/>
      <c r="F102" s="3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 spans="1:26">
      <c r="A103" s="2"/>
      <c r="B103" s="2"/>
      <c r="C103" s="2"/>
      <c r="D103" s="2"/>
      <c r="E103" s="3"/>
      <c r="F103" s="3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 spans="1:26">
      <c r="A104" s="2"/>
      <c r="B104" s="2"/>
      <c r="C104" s="2"/>
      <c r="D104" s="2"/>
      <c r="E104" s="3"/>
      <c r="F104" s="3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 spans="1:26">
      <c r="A105" s="2"/>
      <c r="B105" s="2"/>
      <c r="C105" s="2"/>
      <c r="D105" s="2"/>
      <c r="E105" s="3"/>
      <c r="F105" s="3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 spans="1:26">
      <c r="A106" s="2"/>
      <c r="B106" s="2"/>
      <c r="C106" s="2"/>
      <c r="D106" s="2"/>
      <c r="E106" s="3"/>
      <c r="F106" s="3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 spans="1:26">
      <c r="A107" s="2"/>
      <c r="B107" s="2"/>
      <c r="C107" s="2"/>
      <c r="D107" s="2"/>
      <c r="E107" s="3"/>
      <c r="F107" s="3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 spans="1:26">
      <c r="A108" s="2"/>
      <c r="B108" s="2"/>
      <c r="C108" s="2"/>
      <c r="D108" s="2"/>
      <c r="E108" s="3"/>
      <c r="F108" s="3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 spans="1:26">
      <c r="A109" s="2"/>
      <c r="B109" s="2"/>
      <c r="C109" s="2"/>
      <c r="D109" s="2"/>
      <c r="E109" s="3"/>
      <c r="F109" s="3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 spans="1:26">
      <c r="A110" s="2"/>
      <c r="B110" s="2"/>
      <c r="C110" s="2"/>
      <c r="D110" s="2"/>
      <c r="E110" s="3"/>
      <c r="F110" s="3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 spans="1:26">
      <c r="A111" s="2"/>
      <c r="B111" s="2"/>
      <c r="C111" s="2"/>
      <c r="D111" s="2"/>
      <c r="E111" s="3"/>
      <c r="F111" s="3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 spans="1:26">
      <c r="A112" s="2"/>
      <c r="B112" s="2"/>
      <c r="C112" s="2"/>
      <c r="D112" s="2"/>
      <c r="E112" s="3"/>
      <c r="F112" s="3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 spans="1:26">
      <c r="A113" s="2"/>
      <c r="B113" s="2"/>
      <c r="C113" s="2"/>
      <c r="D113" s="2"/>
      <c r="E113" s="3"/>
      <c r="F113" s="3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 spans="1:26">
      <c r="A114" s="2"/>
      <c r="B114" s="2"/>
      <c r="C114" s="2"/>
      <c r="D114" s="2"/>
      <c r="E114" s="3"/>
      <c r="F114" s="3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 spans="1:26">
      <c r="A115" s="2"/>
      <c r="B115" s="2"/>
      <c r="C115" s="2"/>
      <c r="D115" s="2"/>
      <c r="E115" s="3"/>
      <c r="F115" s="3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 spans="1:26">
      <c r="A116" s="2"/>
      <c r="B116" s="2"/>
      <c r="C116" s="2"/>
      <c r="D116" s="2"/>
      <c r="E116" s="3"/>
      <c r="F116" s="3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 spans="1:26">
      <c r="A117" s="2"/>
      <c r="B117" s="2"/>
      <c r="C117" s="2"/>
      <c r="D117" s="2"/>
      <c r="E117" s="3"/>
      <c r="F117" s="3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 spans="1:26">
      <c r="A118" s="2"/>
      <c r="B118" s="2"/>
      <c r="C118" s="2"/>
      <c r="D118" s="2"/>
      <c r="E118" s="3"/>
      <c r="F118" s="3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 spans="1:26">
      <c r="A119" s="2"/>
      <c r="B119" s="2"/>
      <c r="C119" s="2"/>
      <c r="D119" s="2"/>
      <c r="E119" s="3"/>
      <c r="F119" s="3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 spans="1:26">
      <c r="A120" s="2"/>
      <c r="B120" s="2"/>
      <c r="C120" s="2"/>
      <c r="D120" s="2"/>
      <c r="E120" s="3"/>
      <c r="F120" s="3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 spans="1:26">
      <c r="A121" s="2"/>
      <c r="B121" s="2"/>
      <c r="C121" s="2"/>
      <c r="D121" s="2"/>
      <c r="E121" s="3"/>
      <c r="F121" s="3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 spans="1:26">
      <c r="A122" s="2"/>
      <c r="B122" s="2"/>
      <c r="C122" s="2"/>
      <c r="D122" s="2"/>
      <c r="E122" s="3"/>
      <c r="F122" s="3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 spans="1:26">
      <c r="A123" s="2"/>
      <c r="B123" s="2"/>
      <c r="C123" s="2"/>
      <c r="D123" s="2"/>
      <c r="E123" s="3"/>
      <c r="F123" s="3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 spans="1:26">
      <c r="A124" s="2"/>
      <c r="B124" s="2"/>
      <c r="C124" s="2"/>
      <c r="D124" s="2"/>
      <c r="E124" s="3"/>
      <c r="F124" s="3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 spans="1:26">
      <c r="A125" s="2"/>
      <c r="B125" s="2"/>
      <c r="C125" s="2"/>
      <c r="D125" s="2"/>
      <c r="E125" s="3"/>
      <c r="F125" s="3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 spans="1:26">
      <c r="A126" s="2"/>
      <c r="B126" s="2"/>
      <c r="C126" s="2"/>
      <c r="D126" s="2"/>
      <c r="E126" s="3"/>
      <c r="F126" s="3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 spans="1:26">
      <c r="A127" s="2"/>
      <c r="B127" s="2"/>
      <c r="C127" s="2"/>
      <c r="D127" s="2"/>
      <c r="E127" s="3"/>
      <c r="F127" s="3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 spans="1:26">
      <c r="A128" s="2"/>
      <c r="B128" s="2"/>
      <c r="C128" s="2"/>
      <c r="D128" s="2"/>
      <c r="E128" s="3"/>
      <c r="F128" s="3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 spans="1:26">
      <c r="A129" s="2"/>
      <c r="B129" s="2"/>
      <c r="C129" s="2"/>
      <c r="D129" s="2"/>
      <c r="E129" s="3"/>
      <c r="F129" s="3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 spans="1:26">
      <c r="A130" s="2"/>
      <c r="B130" s="2"/>
      <c r="C130" s="2"/>
      <c r="D130" s="2"/>
      <c r="E130" s="3"/>
      <c r="F130" s="3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 spans="1:26">
      <c r="A131" s="2"/>
      <c r="B131" s="2"/>
      <c r="C131" s="2"/>
      <c r="D131" s="2"/>
      <c r="E131" s="3"/>
      <c r="F131" s="3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 spans="1:26">
      <c r="A132" s="2"/>
      <c r="B132" s="2"/>
      <c r="C132" s="2"/>
      <c r="D132" s="2"/>
      <c r="E132" s="3"/>
      <c r="F132" s="3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 spans="1:26">
      <c r="A133" s="2"/>
      <c r="B133" s="2"/>
      <c r="C133" s="2"/>
      <c r="D133" s="2"/>
      <c r="E133" s="3"/>
      <c r="F133" s="3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 spans="1:26">
      <c r="A134" s="2"/>
      <c r="B134" s="2"/>
      <c r="C134" s="2"/>
      <c r="D134" s="2"/>
      <c r="E134" s="3"/>
      <c r="F134" s="3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 spans="1:26">
      <c r="A135" s="2"/>
      <c r="B135" s="2"/>
      <c r="C135" s="2"/>
      <c r="D135" s="2"/>
      <c r="E135" s="3"/>
      <c r="F135" s="3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 spans="1:26">
      <c r="A136" s="2"/>
      <c r="B136" s="2"/>
      <c r="C136" s="2"/>
      <c r="D136" s="2"/>
      <c r="E136" s="3"/>
      <c r="F136" s="3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 spans="1:26">
      <c r="A137" s="2"/>
      <c r="B137" s="2"/>
      <c r="C137" s="2"/>
      <c r="D137" s="2"/>
      <c r="E137" s="3"/>
      <c r="F137" s="3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 spans="1:26">
      <c r="A138" s="2"/>
      <c r="B138" s="2"/>
      <c r="C138" s="2"/>
      <c r="D138" s="2"/>
      <c r="E138" s="3"/>
      <c r="F138" s="3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 spans="1:26">
      <c r="A139" s="2"/>
      <c r="B139" s="2"/>
      <c r="C139" s="2"/>
      <c r="D139" s="2"/>
      <c r="E139" s="3"/>
      <c r="F139" s="3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 spans="1:26">
      <c r="A140" s="2"/>
      <c r="B140" s="2"/>
      <c r="C140" s="2"/>
      <c r="D140" s="2"/>
      <c r="E140" s="3"/>
      <c r="F140" s="3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 spans="1:26">
      <c r="A141" s="2"/>
      <c r="B141" s="2"/>
      <c r="C141" s="2"/>
      <c r="D141" s="2"/>
      <c r="E141" s="3"/>
      <c r="F141" s="3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 spans="1:26">
      <c r="A142" s="2"/>
      <c r="B142" s="2"/>
      <c r="C142" s="2"/>
      <c r="D142" s="2"/>
      <c r="E142" s="3"/>
      <c r="F142" s="3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 spans="1:26">
      <c r="A143" s="2"/>
      <c r="B143" s="2"/>
      <c r="C143" s="2"/>
      <c r="D143" s="2"/>
      <c r="E143" s="3"/>
      <c r="F143" s="3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 spans="1:26">
      <c r="A144" s="2"/>
      <c r="B144" s="2"/>
      <c r="C144" s="2"/>
      <c r="D144" s="2"/>
      <c r="E144" s="3"/>
      <c r="F144" s="3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 spans="1:26">
      <c r="A145" s="2"/>
      <c r="B145" s="2"/>
      <c r="C145" s="2"/>
      <c r="D145" s="2"/>
      <c r="E145" s="3"/>
      <c r="F145" s="3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 spans="1:26">
      <c r="A146" s="2"/>
      <c r="B146" s="2"/>
      <c r="C146" s="2"/>
      <c r="D146" s="2"/>
      <c r="E146" s="3"/>
      <c r="F146" s="3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 spans="1:26">
      <c r="A147" s="2"/>
      <c r="B147" s="2"/>
      <c r="C147" s="2"/>
      <c r="D147" s="2"/>
      <c r="E147" s="3"/>
      <c r="F147" s="3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 spans="1:26">
      <c r="A148" s="2"/>
      <c r="B148" s="2"/>
      <c r="C148" s="2"/>
      <c r="D148" s="2"/>
      <c r="E148" s="3"/>
      <c r="F148" s="3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 spans="1:26">
      <c r="A149" s="2"/>
      <c r="B149" s="2"/>
      <c r="C149" s="2"/>
      <c r="D149" s="2"/>
      <c r="E149" s="3"/>
      <c r="F149" s="3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 spans="1:26">
      <c r="A150" s="2"/>
      <c r="B150" s="2"/>
      <c r="C150" s="2"/>
      <c r="D150" s="2"/>
      <c r="E150" s="3"/>
      <c r="F150" s="3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 spans="1:26">
      <c r="A151" s="2"/>
      <c r="B151" s="2"/>
      <c r="C151" s="2"/>
      <c r="D151" s="2"/>
      <c r="E151" s="3"/>
      <c r="F151" s="3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 spans="1:26">
      <c r="A152" s="2"/>
      <c r="B152" s="2"/>
      <c r="C152" s="2"/>
      <c r="D152" s="2"/>
      <c r="E152" s="3"/>
      <c r="F152" s="3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 spans="1:26">
      <c r="A153" s="2"/>
      <c r="B153" s="2"/>
      <c r="C153" s="2"/>
      <c r="D153" s="2"/>
      <c r="E153" s="3"/>
      <c r="F153" s="3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 spans="1:26">
      <c r="A154" s="2"/>
      <c r="B154" s="2"/>
      <c r="C154" s="2"/>
      <c r="D154" s="2"/>
      <c r="E154" s="3"/>
      <c r="F154" s="3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 spans="1:26">
      <c r="A155" s="2"/>
      <c r="B155" s="2"/>
      <c r="C155" s="2"/>
      <c r="D155" s="2"/>
      <c r="E155" s="3"/>
      <c r="F155" s="3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 spans="1:26">
      <c r="A156" s="2"/>
      <c r="B156" s="2"/>
      <c r="C156" s="2"/>
      <c r="D156" s="2"/>
      <c r="E156" s="3"/>
      <c r="F156" s="3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 spans="1:26">
      <c r="A157" s="2"/>
      <c r="B157" s="2"/>
      <c r="C157" s="2"/>
      <c r="D157" s="2"/>
      <c r="E157" s="3"/>
      <c r="F157" s="3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 spans="1:26">
      <c r="A158" s="2"/>
      <c r="B158" s="2"/>
      <c r="C158" s="2"/>
      <c r="D158" s="2"/>
      <c r="E158" s="3"/>
      <c r="F158" s="3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 spans="1:26">
      <c r="A159" s="2"/>
      <c r="B159" s="2"/>
      <c r="C159" s="2"/>
      <c r="D159" s="2"/>
      <c r="E159" s="3"/>
      <c r="F159" s="3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 spans="1:26">
      <c r="A160" s="2"/>
      <c r="B160" s="2"/>
      <c r="C160" s="2"/>
      <c r="D160" s="2"/>
      <c r="E160" s="3"/>
      <c r="F160" s="3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 spans="1:26">
      <c r="A161" s="2"/>
      <c r="B161" s="2"/>
      <c r="C161" s="2"/>
      <c r="D161" s="2"/>
      <c r="E161" s="3"/>
      <c r="F161" s="3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 spans="1:26">
      <c r="A162" s="2"/>
      <c r="B162" s="2"/>
      <c r="C162" s="2"/>
      <c r="D162" s="2"/>
      <c r="E162" s="3"/>
      <c r="F162" s="3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 spans="1:26">
      <c r="A163" s="2"/>
      <c r="B163" s="2"/>
      <c r="C163" s="2"/>
      <c r="D163" s="2"/>
      <c r="E163" s="3"/>
      <c r="F163" s="3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 spans="1:26">
      <c r="A164" s="2"/>
      <c r="B164" s="2"/>
      <c r="C164" s="2"/>
      <c r="D164" s="2"/>
      <c r="E164" s="3"/>
      <c r="F164" s="3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 spans="1:26">
      <c r="A165" s="2"/>
      <c r="B165" s="2"/>
      <c r="C165" s="2"/>
      <c r="D165" s="2"/>
      <c r="E165" s="3"/>
      <c r="F165" s="3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 spans="1:26">
      <c r="A166" s="2"/>
      <c r="B166" s="2"/>
      <c r="C166" s="2"/>
      <c r="D166" s="2"/>
      <c r="E166" s="3"/>
      <c r="F166" s="3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 spans="1:26">
      <c r="A167" s="2"/>
      <c r="B167" s="2"/>
      <c r="C167" s="2"/>
      <c r="D167" s="2"/>
      <c r="E167" s="3"/>
      <c r="F167" s="3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 spans="1:26">
      <c r="A168" s="2"/>
      <c r="B168" s="2"/>
      <c r="C168" s="2"/>
      <c r="D168" s="2"/>
      <c r="E168" s="3"/>
      <c r="F168" s="3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 spans="1:26">
      <c r="A169" s="2"/>
      <c r="B169" s="2"/>
      <c r="C169" s="2"/>
      <c r="D169" s="2"/>
      <c r="E169" s="3"/>
      <c r="F169" s="3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 spans="1:26">
      <c r="A170" s="2"/>
      <c r="B170" s="2"/>
      <c r="C170" s="2"/>
      <c r="D170" s="2"/>
      <c r="E170" s="3"/>
      <c r="F170" s="3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 spans="1:26">
      <c r="A171" s="2"/>
      <c r="B171" s="2"/>
      <c r="C171" s="2"/>
      <c r="D171" s="2"/>
      <c r="E171" s="3"/>
      <c r="F171" s="3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 spans="1:26">
      <c r="A172" s="2"/>
      <c r="B172" s="2"/>
      <c r="C172" s="2"/>
      <c r="D172" s="2"/>
      <c r="E172" s="3"/>
      <c r="F172" s="3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 spans="1:26">
      <c r="A173" s="2"/>
      <c r="B173" s="2"/>
      <c r="C173" s="2"/>
      <c r="D173" s="2"/>
      <c r="E173" s="3"/>
      <c r="F173" s="3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 spans="1:26">
      <c r="A174" s="2"/>
      <c r="B174" s="2"/>
      <c r="C174" s="2"/>
      <c r="D174" s="2"/>
      <c r="E174" s="3"/>
      <c r="F174" s="3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 spans="1:26">
      <c r="A175" s="2"/>
      <c r="B175" s="2"/>
      <c r="C175" s="2"/>
      <c r="D175" s="2"/>
      <c r="E175" s="3"/>
      <c r="F175" s="3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 spans="1:26">
      <c r="A176" s="2"/>
      <c r="B176" s="2"/>
      <c r="C176" s="2"/>
      <c r="D176" s="2"/>
      <c r="E176" s="3"/>
      <c r="F176" s="3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 spans="1:26">
      <c r="A177" s="2"/>
      <c r="B177" s="2"/>
      <c r="C177" s="2"/>
      <c r="D177" s="2"/>
      <c r="E177" s="3"/>
      <c r="F177" s="3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 spans="1:26">
      <c r="A178" s="2"/>
      <c r="B178" s="2"/>
      <c r="C178" s="2"/>
      <c r="D178" s="2"/>
      <c r="E178" s="3"/>
      <c r="F178" s="3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 spans="1:26">
      <c r="A179" s="2"/>
      <c r="B179" s="2"/>
      <c r="C179" s="2"/>
      <c r="D179" s="2"/>
      <c r="E179" s="3"/>
      <c r="F179" s="3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 spans="1:26">
      <c r="A180" s="2"/>
      <c r="B180" s="2"/>
      <c r="C180" s="2"/>
      <c r="D180" s="2"/>
      <c r="E180" s="3"/>
      <c r="F180" s="3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 spans="1:26">
      <c r="A181" s="2"/>
      <c r="B181" s="2"/>
      <c r="C181" s="2"/>
      <c r="D181" s="2"/>
      <c r="E181" s="3"/>
      <c r="F181" s="3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 spans="1:26">
      <c r="A182" s="2"/>
      <c r="B182" s="2"/>
      <c r="C182" s="2"/>
      <c r="D182" s="2"/>
      <c r="E182" s="3"/>
      <c r="F182" s="3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 spans="1:26">
      <c r="A183" s="2"/>
      <c r="B183" s="2"/>
      <c r="C183" s="2"/>
      <c r="D183" s="2"/>
      <c r="E183" s="3"/>
      <c r="F183" s="3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 spans="1:26">
      <c r="A184" s="2"/>
      <c r="B184" s="2"/>
      <c r="C184" s="2"/>
      <c r="D184" s="2"/>
      <c r="E184" s="3"/>
      <c r="F184" s="3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 spans="1:26">
      <c r="A185" s="2"/>
      <c r="B185" s="2"/>
      <c r="C185" s="2"/>
      <c r="D185" s="2"/>
      <c r="E185" s="3"/>
      <c r="F185" s="3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 spans="1:26">
      <c r="A186" s="2"/>
      <c r="B186" s="2"/>
      <c r="C186" s="2"/>
      <c r="D186" s="2"/>
      <c r="E186" s="3"/>
      <c r="F186" s="3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 spans="1:26">
      <c r="A187" s="2"/>
      <c r="B187" s="2"/>
      <c r="C187" s="2"/>
      <c r="D187" s="2"/>
      <c r="E187" s="3"/>
      <c r="F187" s="3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 spans="1:26">
      <c r="A188" s="2"/>
      <c r="B188" s="2"/>
      <c r="C188" s="2"/>
      <c r="D188" s="2"/>
      <c r="E188" s="3"/>
      <c r="F188" s="3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 spans="1:26">
      <c r="A189" s="2"/>
      <c r="B189" s="2"/>
      <c r="C189" s="2"/>
      <c r="D189" s="2"/>
      <c r="E189" s="3"/>
      <c r="F189" s="3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 spans="1:26">
      <c r="A190" s="2"/>
      <c r="B190" s="2"/>
      <c r="C190" s="2"/>
      <c r="D190" s="2"/>
      <c r="E190" s="3"/>
      <c r="F190" s="3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 spans="1:26">
      <c r="A191" s="2"/>
      <c r="B191" s="2"/>
      <c r="C191" s="2"/>
      <c r="D191" s="2"/>
      <c r="E191" s="3"/>
      <c r="F191" s="3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 spans="1:26">
      <c r="A192" s="2"/>
      <c r="B192" s="2"/>
      <c r="C192" s="2"/>
      <c r="D192" s="2"/>
      <c r="E192" s="3"/>
      <c r="F192" s="3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 spans="1:26">
      <c r="A193" s="2"/>
      <c r="B193" s="2"/>
      <c r="C193" s="2"/>
      <c r="D193" s="2"/>
      <c r="E193" s="3"/>
      <c r="F193" s="3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 spans="1:26">
      <c r="A194" s="2"/>
      <c r="B194" s="2"/>
      <c r="C194" s="2"/>
      <c r="D194" s="2"/>
      <c r="E194" s="3"/>
      <c r="F194" s="3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 spans="1:26">
      <c r="A195" s="2"/>
      <c r="B195" s="2"/>
      <c r="C195" s="2"/>
      <c r="D195" s="2"/>
      <c r="E195" s="3"/>
      <c r="F195" s="3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 spans="1:26">
      <c r="A196" s="2"/>
      <c r="B196" s="2"/>
      <c r="C196" s="2"/>
      <c r="D196" s="2"/>
      <c r="E196" s="3"/>
      <c r="F196" s="3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 spans="1:26">
      <c r="A197" s="2"/>
      <c r="B197" s="2"/>
      <c r="C197" s="2"/>
      <c r="D197" s="2"/>
      <c r="E197" s="3"/>
      <c r="F197" s="3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 spans="1:26">
      <c r="A198" s="2"/>
      <c r="B198" s="2"/>
      <c r="C198" s="2"/>
      <c r="D198" s="2"/>
      <c r="E198" s="3"/>
      <c r="F198" s="3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 spans="1:26">
      <c r="A199" s="2"/>
      <c r="B199" s="2"/>
      <c r="C199" s="2"/>
      <c r="D199" s="2"/>
      <c r="E199" s="3"/>
      <c r="F199" s="3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 spans="1:26">
      <c r="A200" s="2"/>
      <c r="B200" s="2"/>
      <c r="C200" s="2"/>
      <c r="D200" s="2"/>
      <c r="E200" s="3"/>
      <c r="F200" s="3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H2:J200">
    <cfRule type="expression" dxfId="9" priority="1">
      <formula>OR(H2="Выполнено",H2="Готово",H2="Оплачен полностью",H2="Подписано")</formula>
    </cfRule>
    <cfRule type="expression" dxfId="10" priority="2">
      <formula>OR(H2="Срочно",H2="Не оплачен")</formula>
    </cfRule>
    <cfRule type="expression" dxfId="11" priority="3">
      <formula>OR(H2="В процессе",H2="Ожидаю","H2"="Депозит")</formula>
    </cfRule>
  </conditionalFormatting>
  <dataValidations count="2">
    <dataValidation type="list" allowBlank="1" sqref="J2:J200">
      <formula1>Lists!$B$2:$B$6</formula1>
    </dataValidation>
    <dataValidation type="list" allowBlank="1" sqref="H2:I200">
      <formula1>Lists!$C$2:$C$7</formula1>
    </dataValidation>
  </dataValidations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2.6346153846154" defaultRowHeight="15" customHeight="1"/>
  <cols>
    <col min="1" max="1" width="36" customWidth="1"/>
    <col min="2" max="5" width="8.63461538461539" customWidth="1"/>
    <col min="6" max="6" width="36" customWidth="1"/>
    <col min="7" max="26" width="8.63461538461539" customWidth="1"/>
  </cols>
  <sheetData>
    <row r="1" ht="51" spans="1:26">
      <c r="A1" s="1" t="s">
        <v>111</v>
      </c>
      <c r="B1" s="1" t="s">
        <v>112</v>
      </c>
      <c r="C1" s="1" t="s">
        <v>113</v>
      </c>
      <c r="D1" s="1" t="s">
        <v>48</v>
      </c>
      <c r="E1" s="1" t="s">
        <v>114</v>
      </c>
      <c r="F1" s="1" t="s">
        <v>50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34" spans="1:26">
      <c r="A2" s="2" t="s">
        <v>115</v>
      </c>
      <c r="B2" s="2"/>
      <c r="C2" s="2" t="s">
        <v>116</v>
      </c>
      <c r="D2" s="2" t="s">
        <v>117</v>
      </c>
      <c r="E2" s="2" t="s">
        <v>118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51" spans="1:26">
      <c r="A3" s="2" t="s">
        <v>119</v>
      </c>
      <c r="B3" s="2"/>
      <c r="C3" s="2" t="s">
        <v>116</v>
      </c>
      <c r="D3" s="2" t="s">
        <v>120</v>
      </c>
      <c r="E3" s="2" t="s">
        <v>118</v>
      </c>
      <c r="F3" s="2" t="s">
        <v>121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51" spans="1:26">
      <c r="A4" s="2" t="s">
        <v>122</v>
      </c>
      <c r="B4" s="2"/>
      <c r="C4" s="2" t="s">
        <v>123</v>
      </c>
      <c r="D4" s="2" t="s">
        <v>120</v>
      </c>
      <c r="E4" s="2" t="s">
        <v>118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51" spans="1:26">
      <c r="A5" s="2" t="s">
        <v>124</v>
      </c>
      <c r="B5" s="2"/>
      <c r="C5" s="2" t="s">
        <v>123</v>
      </c>
      <c r="D5" s="2" t="s">
        <v>120</v>
      </c>
      <c r="E5" s="2" t="s">
        <v>118</v>
      </c>
      <c r="F5" s="2" t="s">
        <v>125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34" spans="1:26">
      <c r="A6" s="2" t="s">
        <v>126</v>
      </c>
      <c r="B6" s="2"/>
      <c r="C6" s="2" t="s">
        <v>123</v>
      </c>
      <c r="D6" s="2" t="s">
        <v>127</v>
      </c>
      <c r="E6" s="2" t="s">
        <v>118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34" spans="1:26">
      <c r="A7" s="2" t="s">
        <v>128</v>
      </c>
      <c r="B7" s="2"/>
      <c r="C7" s="2" t="s">
        <v>123</v>
      </c>
      <c r="D7" s="2" t="s">
        <v>127</v>
      </c>
      <c r="E7" s="2" t="s">
        <v>118</v>
      </c>
      <c r="F7" s="2" t="s">
        <v>129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34" spans="1:26">
      <c r="A8" s="2" t="s">
        <v>130</v>
      </c>
      <c r="B8" s="2"/>
      <c r="C8" s="2" t="s">
        <v>123</v>
      </c>
      <c r="D8" s="2" t="s">
        <v>117</v>
      </c>
      <c r="E8" s="2" t="s">
        <v>118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34" spans="1:26">
      <c r="A9" s="2" t="s">
        <v>131</v>
      </c>
      <c r="B9" s="2"/>
      <c r="C9" s="2" t="s">
        <v>132</v>
      </c>
      <c r="D9" s="2" t="s">
        <v>117</v>
      </c>
      <c r="E9" s="2" t="s">
        <v>118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34" spans="1:26">
      <c r="A10" s="2" t="s">
        <v>133</v>
      </c>
      <c r="B10" s="2"/>
      <c r="C10" s="2" t="s">
        <v>132</v>
      </c>
      <c r="D10" s="2" t="s">
        <v>117</v>
      </c>
      <c r="E10" s="2" t="s">
        <v>118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51" spans="1:26">
      <c r="A11" s="2" t="s">
        <v>134</v>
      </c>
      <c r="B11" s="2"/>
      <c r="C11" s="2" t="s">
        <v>132</v>
      </c>
      <c r="D11" s="2" t="s">
        <v>120</v>
      </c>
      <c r="E11" s="2" t="s">
        <v>118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51" spans="1:26">
      <c r="A12" s="2" t="s">
        <v>135</v>
      </c>
      <c r="B12" s="2"/>
      <c r="C12" s="2" t="s">
        <v>132</v>
      </c>
      <c r="D12" s="2" t="s">
        <v>120</v>
      </c>
      <c r="E12" s="2" t="s">
        <v>118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6.8" spans="1:26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6.8" spans="1:26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6.8" spans="1:26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6.8" spans="1:2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8" spans="1:2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8" spans="1:2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8" spans="1:2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8" spans="1:2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 spans="1:2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 spans="1:2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 spans="1:2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 spans="1:2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 spans="1:2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 spans="1:2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 spans="1:2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 spans="1:2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 spans="1:2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 spans="1:2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 spans="1:2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 spans="1:2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 spans="1:2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 spans="1:2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 spans="1:2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 spans="1:2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 spans="1:2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 spans="1:26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 spans="1:26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 spans="1:26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 spans="1:26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 spans="1:2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 spans="1:26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 spans="1:2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 spans="1:26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 spans="1:2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 spans="1:2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 spans="1:26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 spans="1:26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 spans="1:26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 spans="1:2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 spans="1:2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 spans="1:26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 spans="1:2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 spans="1:26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 spans="1:2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 spans="1:26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 spans="1:26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 spans="1:26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 spans="1:26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 spans="1:26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 spans="1:2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 spans="1:26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 spans="1:2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 spans="1:2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 spans="1:26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 spans="1:26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 spans="1:26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 spans="1:26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 spans="1:26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 spans="1:2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 spans="1:2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 spans="1:2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 spans="1:2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 spans="1:2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 spans="1:26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 spans="1:2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 spans="1:2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 spans="1:2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 spans="1:2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 spans="1:2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 spans="1:2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 spans="1:2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 spans="1:2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 spans="1:2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 spans="1:2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 spans="1:2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 spans="1:2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 spans="1:2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 spans="1:2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 spans="1:2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 spans="1:2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 spans="1:2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 spans="1:2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 spans="1:2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 spans="1:2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 spans="1:2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 spans="1:2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 spans="1:2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 spans="1:26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 spans="1:26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 spans="1:2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 spans="1:26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 spans="1:26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 spans="1:26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 spans="1:2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 spans="1:26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 spans="1:26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 spans="1:26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 spans="1:26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 spans="1:26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 spans="1:2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 spans="1:26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 spans="1:26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 spans="1:26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 spans="1:26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 spans="1:2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 spans="1:26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 spans="1:26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 spans="1:26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 spans="1:26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 spans="1:2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 spans="1:26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 spans="1:26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 spans="1:2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 spans="1:26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 spans="1:26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 spans="1:26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 spans="1:26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 spans="1:26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 spans="1:26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 spans="1:2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 spans="1:26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 spans="1:26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 spans="1:2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 spans="1:26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 spans="1:2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 spans="1:26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 spans="1:26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 spans="1:26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 spans="1:26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 spans="1:2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 spans="1:26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 spans="1:26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 spans="1:26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 spans="1:26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 spans="1:2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 spans="1:26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 spans="1:2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 spans="1:2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 spans="1:26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 spans="1:2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 spans="1:26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 spans="1:26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 spans="1:26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 spans="1:26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 spans="1:2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 spans="1:26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 spans="1:26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 spans="1:26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 spans="1:26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 spans="1:2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 spans="1:26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 spans="1:26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 spans="1:26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 spans="1:2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D2:D200">
    <cfRule type="expression" dxfId="9" priority="1">
      <formula>OR(D2="Выполнено",D2="Готово",D2="Оплачен полностью",D2="Подписано")</formula>
    </cfRule>
    <cfRule type="expression" dxfId="10" priority="2">
      <formula>OR(D2="Срочно",D2="Не оплачен")</formula>
    </cfRule>
    <cfRule type="expression" dxfId="11" priority="3">
      <formula>OR(D2="В процессе",D2="Ожидаю","D2"="Депозит")</formula>
    </cfRule>
  </conditionalFormatting>
  <dataValidations count="2">
    <dataValidation type="list" allowBlank="1" sqref="C2:C200">
      <formula1>Lists!$D$2:$D$5</formula1>
    </dataValidation>
    <dataValidation type="list" allowBlank="1" sqref="D2:D200">
      <formula1>Lists!$A$2:$A$5</formula1>
    </dataValidation>
  </dataValidations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2.6346153846154" defaultRowHeight="15" customHeight="1"/>
  <cols>
    <col min="1" max="1" width="42" customWidth="1"/>
    <col min="2" max="5" width="8.63461538461539" customWidth="1"/>
    <col min="6" max="7" width="34" customWidth="1"/>
    <col min="8" max="26" width="8.63461538461539" customWidth="1"/>
  </cols>
  <sheetData>
    <row r="1" ht="51" spans="1:26">
      <c r="A1" s="1" t="s">
        <v>136</v>
      </c>
      <c r="B1" s="1" t="s">
        <v>137</v>
      </c>
      <c r="C1" s="1" t="s">
        <v>48</v>
      </c>
      <c r="D1" s="1" t="s">
        <v>138</v>
      </c>
      <c r="E1" s="1" t="s">
        <v>44</v>
      </c>
      <c r="F1" s="1" t="s">
        <v>139</v>
      </c>
      <c r="G1" s="1" t="s">
        <v>50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34" spans="1:26">
      <c r="A2" s="2" t="s">
        <v>140</v>
      </c>
      <c r="B2" s="2" t="s">
        <v>141</v>
      </c>
      <c r="C2" s="2" t="s">
        <v>107</v>
      </c>
      <c r="D2" s="2" t="s">
        <v>118</v>
      </c>
      <c r="E2" s="2"/>
      <c r="F2" s="2"/>
      <c r="G2" s="2" t="s">
        <v>142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34" spans="1:26">
      <c r="A3" s="2" t="s">
        <v>143</v>
      </c>
      <c r="B3" s="2" t="s">
        <v>141</v>
      </c>
      <c r="C3" s="2" t="s">
        <v>107</v>
      </c>
      <c r="D3" s="2" t="s">
        <v>118</v>
      </c>
      <c r="E3" s="2"/>
      <c r="F3" s="2"/>
      <c r="G3" s="2" t="s">
        <v>144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34" spans="1:26">
      <c r="A4" s="2" t="s">
        <v>145</v>
      </c>
      <c r="B4" s="2" t="s">
        <v>146</v>
      </c>
      <c r="C4" s="2" t="s">
        <v>107</v>
      </c>
      <c r="D4" s="2" t="s">
        <v>147</v>
      </c>
      <c r="E4" s="2"/>
      <c r="F4" s="2"/>
      <c r="G4" s="2" t="s">
        <v>148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34" spans="1:26">
      <c r="A5" s="2" t="s">
        <v>149</v>
      </c>
      <c r="B5" s="2" t="s">
        <v>146</v>
      </c>
      <c r="C5" s="2" t="s">
        <v>107</v>
      </c>
      <c r="D5" s="2" t="s">
        <v>147</v>
      </c>
      <c r="E5" s="2"/>
      <c r="F5" s="2"/>
      <c r="G5" s="2" t="s">
        <v>150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51" spans="1:26">
      <c r="A6" s="2" t="s">
        <v>151</v>
      </c>
      <c r="B6" s="2" t="s">
        <v>104</v>
      </c>
      <c r="C6" s="2" t="s">
        <v>120</v>
      </c>
      <c r="D6" s="2" t="s">
        <v>118</v>
      </c>
      <c r="E6" s="2"/>
      <c r="F6" s="2"/>
      <c r="G6" s="2" t="s">
        <v>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7" spans="1:26">
      <c r="A7" s="2" t="s">
        <v>153</v>
      </c>
      <c r="B7" s="2" t="s">
        <v>154</v>
      </c>
      <c r="C7" s="2" t="s">
        <v>107</v>
      </c>
      <c r="D7" s="2" t="s">
        <v>118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7" spans="1:26">
      <c r="A8" s="2" t="s">
        <v>155</v>
      </c>
      <c r="B8" s="2" t="s">
        <v>154</v>
      </c>
      <c r="C8" s="2" t="s">
        <v>107</v>
      </c>
      <c r="D8" s="2" t="s">
        <v>118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51" spans="1:26">
      <c r="A9" s="2" t="s">
        <v>156</v>
      </c>
      <c r="B9" s="2" t="s">
        <v>157</v>
      </c>
      <c r="C9" s="2" t="s">
        <v>120</v>
      </c>
      <c r="D9" s="2" t="s">
        <v>118</v>
      </c>
      <c r="E9" s="2"/>
      <c r="F9" s="2"/>
      <c r="G9" s="2" t="s">
        <v>158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6.8" spans="1:26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6.8" spans="1:26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6.8" spans="1:26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6.8" spans="1:26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6.8" spans="1:26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6.8" spans="1:26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6.8" spans="1:2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8" spans="1:2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8" spans="1:2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8" spans="1:2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8" spans="1:2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 spans="1:2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 spans="1:2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 spans="1:2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 spans="1:2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 spans="1:2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 spans="1:2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 spans="1:2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 spans="1:2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 spans="1:2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 spans="1:2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 spans="1:2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 spans="1:2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 spans="1:2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 spans="1:2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 spans="1:2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 spans="1:2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 spans="1:2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 spans="1:26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 spans="1:26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 spans="1:26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 spans="1:26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 spans="1:2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 spans="1:26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 spans="1:2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 spans="1:26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 spans="1:2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 spans="1:2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 spans="1:26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 spans="1:26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 spans="1:26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 spans="1:2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 spans="1:2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 spans="1:26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 spans="1:2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 spans="1:26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 spans="1:2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 spans="1:26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 spans="1:26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 spans="1:26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 spans="1:26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 spans="1:26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 spans="1:2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 spans="1:26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 spans="1:2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 spans="1:2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 spans="1:26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 spans="1:26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 spans="1:26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 spans="1:26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 spans="1:26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 spans="1:2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 spans="1:2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 spans="1:2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 spans="1:2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 spans="1:2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 spans="1:26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 spans="1:2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 spans="1:2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 spans="1:2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 spans="1:2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 spans="1:2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 spans="1:2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 spans="1:2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 spans="1:2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 spans="1:2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 spans="1:2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 spans="1:2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 spans="1:2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 spans="1:2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 spans="1:2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 spans="1:2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 spans="1:2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 spans="1:2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 spans="1:2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 spans="1:2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 spans="1:2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 spans="1:2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 spans="1:2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 spans="1:2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 spans="1:26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 spans="1:26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 spans="1:2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 spans="1:26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 spans="1:26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 spans="1:26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 spans="1:2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 spans="1:26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 spans="1:26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 spans="1:26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 spans="1:26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 spans="1:26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 spans="1:2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 spans="1:26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 spans="1:26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 spans="1:26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 spans="1:26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 spans="1:2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 spans="1:26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 spans="1:26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 spans="1:26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 spans="1:26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 spans="1:2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 spans="1:26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 spans="1:26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 spans="1:2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 spans="1:26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 spans="1:26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 spans="1:26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 spans="1:26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 spans="1:26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 spans="1:26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 spans="1:2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 spans="1:26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 spans="1:26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 spans="1:2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 spans="1:26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 spans="1:2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 spans="1:26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 spans="1:26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 spans="1:26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 spans="1:26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 spans="1:2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 spans="1:26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 spans="1:26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 spans="1:26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 spans="1:26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 spans="1:2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 spans="1:26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 spans="1:2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 spans="1:2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 spans="1:26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 spans="1:2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 spans="1:26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 spans="1:26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 spans="1:26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 spans="1:26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 spans="1:2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 spans="1:26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 spans="1:26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 spans="1:26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 spans="1:26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 spans="1:2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 spans="1:26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 spans="1:26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 spans="1:26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 spans="1:2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C2:C200">
    <cfRule type="expression" dxfId="9" priority="1">
      <formula>OR(C2="Выполнено",C2="Готово",C2="Оплачен полностью",C2="Подписано")</formula>
    </cfRule>
    <cfRule type="expression" dxfId="10" priority="2">
      <formula>OR(C2="Срочно",C2="Не оплачен")</formula>
    </cfRule>
    <cfRule type="expression" dxfId="11" priority="3">
      <formula>OR(C2="В процессе",C2="Ожидаю","C2"="Депозит")</formula>
    </cfRule>
  </conditionalFormatting>
  <dataValidations count="1">
    <dataValidation type="list" allowBlank="1" sqref="C2:C200">
      <formula1>Lists!$C$2:$C$7</formula1>
    </dataValidation>
  </dataValidations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Z1000"/>
  <sheetViews>
    <sheetView workbookViewId="0">
      <selection activeCell="A1" sqref="A1"/>
    </sheetView>
  </sheetViews>
  <sheetFormatPr defaultColWidth="12.6346153846154" defaultRowHeight="15" customHeight="1"/>
  <cols>
    <col min="1" max="4" width="20" customWidth="1"/>
    <col min="5" max="26" width="8.63461538461539" customWidth="1"/>
  </cols>
  <sheetData>
    <row r="1" ht="17" spans="1:26">
      <c r="A1" s="1" t="s">
        <v>159</v>
      </c>
      <c r="B1" s="1" t="s">
        <v>160</v>
      </c>
      <c r="C1" s="1" t="s">
        <v>161</v>
      </c>
      <c r="D1" s="1" t="s">
        <v>162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7" spans="1:26">
      <c r="A2" s="2" t="s">
        <v>163</v>
      </c>
      <c r="B2" s="2" t="s">
        <v>69</v>
      </c>
      <c r="C2" s="2" t="s">
        <v>127</v>
      </c>
      <c r="D2" s="2" t="s">
        <v>164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7" spans="1:26">
      <c r="A3" s="2" t="s">
        <v>120</v>
      </c>
      <c r="B3" s="2" t="s">
        <v>52</v>
      </c>
      <c r="C3" s="2" t="s">
        <v>120</v>
      </c>
      <c r="D3" s="2" t="s">
        <v>132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7" spans="1:26">
      <c r="A4" s="2" t="s">
        <v>117</v>
      </c>
      <c r="B4" s="2" t="s">
        <v>59</v>
      </c>
      <c r="C4" s="2" t="s">
        <v>107</v>
      </c>
      <c r="D4" s="2" t="s">
        <v>123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7" spans="1:26">
      <c r="A5" s="2" t="s">
        <v>116</v>
      </c>
      <c r="B5" s="2" t="s">
        <v>53</v>
      </c>
      <c r="C5" s="2" t="s">
        <v>165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7" spans="1:26">
      <c r="A6" s="2"/>
      <c r="B6" s="2" t="s">
        <v>166</v>
      </c>
      <c r="C6" s="2" t="s">
        <v>167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7" spans="1:26">
      <c r="A7" s="2"/>
      <c r="B7" s="2"/>
      <c r="C7" s="2" t="s">
        <v>77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6.8" spans="1:26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6.8" spans="1:26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6.8" spans="1:26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6.8" spans="1:26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6.8" spans="1:26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6.8" spans="1:26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6.8" spans="1:26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6.8" spans="1:26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6.8" spans="1:2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6.8" spans="1:2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6.8" spans="1:2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6.8" spans="1:2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6.8" spans="1:2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5.75" customHeight="1" spans="1:2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 spans="1:2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 spans="1:2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 spans="1:2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 spans="1:2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 spans="1:2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 spans="1:2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 spans="1:2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 spans="1:2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 spans="1:2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 spans="1:2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 spans="1:2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 spans="1:2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 spans="1:2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 spans="1:2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 spans="1:2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 spans="1:2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 spans="1:26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 spans="1:26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 spans="1:26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 spans="1:26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 spans="1:2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 spans="1:26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 spans="1:2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 spans="1:26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 spans="1:2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 spans="1:2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 spans="1:26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 spans="1:26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 spans="1:26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 spans="1:2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 spans="1:2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 spans="1:26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 spans="1:2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 spans="1:26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 spans="1:2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 spans="1:26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 spans="1:26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 spans="1:26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 spans="1:26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 spans="1:26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 spans="1:2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 spans="1:26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 spans="1:2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 spans="1:2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 spans="1:26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 spans="1:26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 spans="1:26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 spans="1:26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 spans="1:26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 spans="1:2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 spans="1:2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 spans="1:2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 spans="1:2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 spans="1:2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 spans="1:26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 spans="1:2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 spans="1:2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 spans="1:2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 spans="1:2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 spans="1:2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 spans="1:2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 spans="1:2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 spans="1:2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 spans="1:2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 spans="1:2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 spans="1:2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 spans="1:2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 spans="1:2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 spans="1:2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 spans="1:2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 spans="1:2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 spans="1:2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 spans="1:2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 spans="1:2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 spans="1:2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 spans="1:2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 spans="1:2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 spans="1:2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 spans="1:26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 spans="1:26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 spans="1:2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 spans="1:26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 spans="1:26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 spans="1:26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 spans="1:2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 spans="1:26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 spans="1:26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 spans="1:26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 spans="1:26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 spans="1:26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 spans="1:2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 spans="1:26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 spans="1:26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 spans="1:26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 spans="1:26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 spans="1:2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 spans="1:26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 spans="1:26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 spans="1:26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 spans="1:26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 spans="1:2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 spans="1:26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 spans="1:26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 spans="1:2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 spans="1:26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 spans="1:26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 spans="1:26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 spans="1:26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 spans="1:26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 spans="1:26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 spans="1:2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 spans="1:26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 spans="1:26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 spans="1:2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 spans="1:26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 spans="1:2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 spans="1:26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 spans="1:26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 spans="1:26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 spans="1:26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 spans="1:2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 spans="1:26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 spans="1:26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 spans="1:26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 spans="1:26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 spans="1:2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 spans="1:26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 spans="1:2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 spans="1:2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 spans="1:26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 spans="1:2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 spans="1:26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 spans="1:26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 spans="1:26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 spans="1:26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 spans="1:2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 spans="1:26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 spans="1:26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 spans="1:26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 spans="1:26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 spans="1:2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 spans="1:26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 spans="1:26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 spans="1:26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 spans="1:2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Dashboard</vt:lpstr>
      <vt:lpstr>Inputs</vt:lpstr>
      <vt:lpstr>Income</vt:lpstr>
      <vt:lpstr>Expenses</vt:lpstr>
      <vt:lpstr>Participants</vt:lpstr>
      <vt:lpstr>Tasks</vt:lpstr>
      <vt:lpstr>Legal &amp; Insurance</vt:lpstr>
      <vt:lpstr>Lists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NataliiaYakhno</cp:lastModifiedBy>
  <dcterms:created xsi:type="dcterms:W3CDTF">2026-07-05T20:31:48Z</dcterms:created>
  <dcterms:modified xsi:type="dcterms:W3CDTF">2026-07-05T20:32:08Z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874F500E3B3FFD4228A34A6A3BED22CF_42</vt:lpwstr>
  </property>
  <property fmtid="{D5CDD505-2E9C-101B-9397-08002B2CF9AE}" pid="3" name="KSOProductBuildVer">
    <vt:lpwstr>1033-12.1.26015.26015</vt:lpwstr>
  </property>
  <property fmtid="{D5CDD505-2E9C-101B-9397-08002B2CF9AE}" pid="4" name="CalculationRule">
    <vt:i4>0</vt:i4>
  </property>
</Properties>
</file>